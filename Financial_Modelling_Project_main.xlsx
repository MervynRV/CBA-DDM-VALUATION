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ynrv/Desktop/SS/"/>
    </mc:Choice>
  </mc:AlternateContent>
  <xr:revisionPtr revIDLastSave="0" documentId="8_{9E0ACF05-22E8-6C46-A321-EC9F99C31FD8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ummary" sheetId="16" r:id="rId1"/>
    <sheet name="CBA.AX monthly cl prices(60mts)" sheetId="2" r:id="rId2"/>
    <sheet name="ASX 200 Monthly data" sheetId="3" r:id="rId3"/>
    <sheet name="CBA TAX RATE" sheetId="4" r:id="rId4"/>
    <sheet name="Real GDP growth " sheetId="5" r:id="rId5"/>
    <sheet name="CBA Target Capital st" sheetId="6" r:id="rId6"/>
    <sheet name="(BOND YIELDS &amp; RISK FREE RATE" sheetId="7" r:id="rId7"/>
    <sheet name="BETA EST. FROM PRICE DATA" sheetId="8" r:id="rId8"/>
    <sheet name="Peer Return Sheet" sheetId="9" r:id="rId9"/>
    <sheet name="Peer Betas" sheetId="11" r:id="rId10"/>
    <sheet name="DDM" sheetId="12" r:id="rId11"/>
    <sheet name="Sensitivity_" sheetId="14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D26" i="8"/>
  <c r="E26" i="8"/>
  <c r="D27" i="8"/>
  <c r="E27" i="8"/>
  <c r="D28" i="8"/>
  <c r="E28" i="8"/>
  <c r="D29" i="8"/>
  <c r="E29" i="8"/>
  <c r="D30" i="8"/>
  <c r="E30" i="8"/>
  <c r="D31" i="8"/>
  <c r="E31" i="8"/>
  <c r="D32" i="8"/>
  <c r="E32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B8" i="12"/>
  <c r="K61" i="9"/>
  <c r="I61" i="9"/>
  <c r="G61" i="9"/>
  <c r="E61" i="9"/>
  <c r="C61" i="9"/>
  <c r="K60" i="9"/>
  <c r="I60" i="9"/>
  <c r="G60" i="9"/>
  <c r="E60" i="9"/>
  <c r="C60" i="9"/>
  <c r="K59" i="9"/>
  <c r="I59" i="9"/>
  <c r="G59" i="9"/>
  <c r="E59" i="9"/>
  <c r="C59" i="9"/>
  <c r="K58" i="9"/>
  <c r="I58" i="9"/>
  <c r="G58" i="9"/>
  <c r="E58" i="9"/>
  <c r="C58" i="9"/>
  <c r="K57" i="9"/>
  <c r="I57" i="9"/>
  <c r="G57" i="9"/>
  <c r="E57" i="9"/>
  <c r="C57" i="9"/>
  <c r="K56" i="9"/>
  <c r="I56" i="9"/>
  <c r="G56" i="9"/>
  <c r="E56" i="9"/>
  <c r="C56" i="9"/>
  <c r="K55" i="9"/>
  <c r="I55" i="9"/>
  <c r="G55" i="9"/>
  <c r="E55" i="9"/>
  <c r="C55" i="9"/>
  <c r="K54" i="9"/>
  <c r="I54" i="9"/>
  <c r="G54" i="9"/>
  <c r="E54" i="9"/>
  <c r="C54" i="9"/>
  <c r="K53" i="9"/>
  <c r="I53" i="9"/>
  <c r="G53" i="9"/>
  <c r="E53" i="9"/>
  <c r="C53" i="9"/>
  <c r="K52" i="9"/>
  <c r="I52" i="9"/>
  <c r="G52" i="9"/>
  <c r="E52" i="9"/>
  <c r="C52" i="9"/>
  <c r="K51" i="9"/>
  <c r="I51" i="9"/>
  <c r="G51" i="9"/>
  <c r="E51" i="9"/>
  <c r="C51" i="9"/>
  <c r="K50" i="9"/>
  <c r="I50" i="9"/>
  <c r="G50" i="9"/>
  <c r="E50" i="9"/>
  <c r="C50" i="9"/>
  <c r="K49" i="9"/>
  <c r="I49" i="9"/>
  <c r="G49" i="9"/>
  <c r="E49" i="9"/>
  <c r="C49" i="9"/>
  <c r="K48" i="9"/>
  <c r="I48" i="9"/>
  <c r="G48" i="9"/>
  <c r="E48" i="9"/>
  <c r="C48" i="9"/>
  <c r="K47" i="9"/>
  <c r="I47" i="9"/>
  <c r="G47" i="9"/>
  <c r="E47" i="9"/>
  <c r="C47" i="9"/>
  <c r="K46" i="9"/>
  <c r="I46" i="9"/>
  <c r="G46" i="9"/>
  <c r="E46" i="9"/>
  <c r="C46" i="9"/>
  <c r="K45" i="9"/>
  <c r="I45" i="9"/>
  <c r="G45" i="9"/>
  <c r="E45" i="9"/>
  <c r="C45" i="9"/>
  <c r="K44" i="9"/>
  <c r="I44" i="9"/>
  <c r="G44" i="9"/>
  <c r="E44" i="9"/>
  <c r="C44" i="9"/>
  <c r="K43" i="9"/>
  <c r="I43" i="9"/>
  <c r="G43" i="9"/>
  <c r="E43" i="9"/>
  <c r="C43" i="9"/>
  <c r="K42" i="9"/>
  <c r="I42" i="9"/>
  <c r="G42" i="9"/>
  <c r="E42" i="9"/>
  <c r="C42" i="9"/>
  <c r="K41" i="9"/>
  <c r="I41" i="9"/>
  <c r="G41" i="9"/>
  <c r="E41" i="9"/>
  <c r="C41" i="9"/>
  <c r="K40" i="9"/>
  <c r="I40" i="9"/>
  <c r="G40" i="9"/>
  <c r="E40" i="9"/>
  <c r="C40" i="9"/>
  <c r="K39" i="9"/>
  <c r="I39" i="9"/>
  <c r="G39" i="9"/>
  <c r="E39" i="9"/>
  <c r="C39" i="9"/>
  <c r="K38" i="9"/>
  <c r="I38" i="9"/>
  <c r="G38" i="9"/>
  <c r="E38" i="9"/>
  <c r="C38" i="9"/>
  <c r="K37" i="9"/>
  <c r="I37" i="9"/>
  <c r="G37" i="9"/>
  <c r="E37" i="9"/>
  <c r="C37" i="9"/>
  <c r="K36" i="9"/>
  <c r="I36" i="9"/>
  <c r="G36" i="9"/>
  <c r="E36" i="9"/>
  <c r="C36" i="9"/>
  <c r="K35" i="9"/>
  <c r="I35" i="9"/>
  <c r="G35" i="9"/>
  <c r="E35" i="9"/>
  <c r="C35" i="9"/>
  <c r="K34" i="9"/>
  <c r="I34" i="9"/>
  <c r="G34" i="9"/>
  <c r="E34" i="9"/>
  <c r="C34" i="9"/>
  <c r="K33" i="9"/>
  <c r="I33" i="9"/>
  <c r="G33" i="9"/>
  <c r="E33" i="9"/>
  <c r="C33" i="9"/>
  <c r="K32" i="9"/>
  <c r="I32" i="9"/>
  <c r="G32" i="9"/>
  <c r="E32" i="9"/>
  <c r="C32" i="9"/>
  <c r="K31" i="9"/>
  <c r="I31" i="9"/>
  <c r="G31" i="9"/>
  <c r="E31" i="9"/>
  <c r="C31" i="9"/>
  <c r="K30" i="9"/>
  <c r="I30" i="9"/>
  <c r="G30" i="9"/>
  <c r="E30" i="9"/>
  <c r="C30" i="9"/>
  <c r="K29" i="9"/>
  <c r="I29" i="9"/>
  <c r="G29" i="9"/>
  <c r="E29" i="9"/>
  <c r="C29" i="9"/>
  <c r="K28" i="9"/>
  <c r="I28" i="9"/>
  <c r="G28" i="9"/>
  <c r="E28" i="9"/>
  <c r="C28" i="9"/>
  <c r="K27" i="9"/>
  <c r="I27" i="9"/>
  <c r="G27" i="9"/>
  <c r="E27" i="9"/>
  <c r="C27" i="9"/>
  <c r="K26" i="9"/>
  <c r="I26" i="9"/>
  <c r="G26" i="9"/>
  <c r="E26" i="9"/>
  <c r="C26" i="9"/>
  <c r="K25" i="9"/>
  <c r="I25" i="9"/>
  <c r="G25" i="9"/>
  <c r="E25" i="9"/>
  <c r="C25" i="9"/>
  <c r="K24" i="9"/>
  <c r="I24" i="9"/>
  <c r="G24" i="9"/>
  <c r="E24" i="9"/>
  <c r="C24" i="9"/>
  <c r="K23" i="9"/>
  <c r="I23" i="9"/>
  <c r="G23" i="9"/>
  <c r="E23" i="9"/>
  <c r="C23" i="9"/>
  <c r="K22" i="9"/>
  <c r="I22" i="9"/>
  <c r="G22" i="9"/>
  <c r="E22" i="9"/>
  <c r="C22" i="9"/>
  <c r="K21" i="9"/>
  <c r="I21" i="9"/>
  <c r="G21" i="9"/>
  <c r="E21" i="9"/>
  <c r="C21" i="9"/>
  <c r="K20" i="9"/>
  <c r="I20" i="9"/>
  <c r="G20" i="9"/>
  <c r="E20" i="9"/>
  <c r="C20" i="9"/>
  <c r="K19" i="9"/>
  <c r="I19" i="9"/>
  <c r="G19" i="9"/>
  <c r="E19" i="9"/>
  <c r="C19" i="9"/>
  <c r="K18" i="9"/>
  <c r="I18" i="9"/>
  <c r="G18" i="9"/>
  <c r="E18" i="9"/>
  <c r="C18" i="9"/>
  <c r="K17" i="9"/>
  <c r="I17" i="9"/>
  <c r="G17" i="9"/>
  <c r="E17" i="9"/>
  <c r="C17" i="9"/>
  <c r="K16" i="9"/>
  <c r="I16" i="9"/>
  <c r="G16" i="9"/>
  <c r="E16" i="9"/>
  <c r="C16" i="9"/>
  <c r="K15" i="9"/>
  <c r="I15" i="9"/>
  <c r="G15" i="9"/>
  <c r="E15" i="9"/>
  <c r="C15" i="9"/>
  <c r="K14" i="9"/>
  <c r="I14" i="9"/>
  <c r="G14" i="9"/>
  <c r="E14" i="9"/>
  <c r="C14" i="9"/>
  <c r="K13" i="9"/>
  <c r="I13" i="9"/>
  <c r="G13" i="9"/>
  <c r="E13" i="9"/>
  <c r="C13" i="9"/>
  <c r="K12" i="9"/>
  <c r="I12" i="9"/>
  <c r="G12" i="9"/>
  <c r="E12" i="9"/>
  <c r="C12" i="9"/>
  <c r="K11" i="9"/>
  <c r="I11" i="9"/>
  <c r="G11" i="9"/>
  <c r="E11" i="9"/>
  <c r="C11" i="9"/>
  <c r="K10" i="9"/>
  <c r="I10" i="9"/>
  <c r="G10" i="9"/>
  <c r="E10" i="9"/>
  <c r="C10" i="9"/>
  <c r="K9" i="9"/>
  <c r="I9" i="9"/>
  <c r="G9" i="9"/>
  <c r="E9" i="9"/>
  <c r="C9" i="9"/>
  <c r="K8" i="9"/>
  <c r="I8" i="9"/>
  <c r="G8" i="9"/>
  <c r="E8" i="9"/>
  <c r="C8" i="9"/>
  <c r="K7" i="9"/>
  <c r="I7" i="9"/>
  <c r="G7" i="9"/>
  <c r="E7" i="9"/>
  <c r="C7" i="9"/>
  <c r="K6" i="9"/>
  <c r="I6" i="9"/>
  <c r="G6" i="9"/>
  <c r="E6" i="9"/>
  <c r="C6" i="9"/>
  <c r="K5" i="9"/>
  <c r="I5" i="9"/>
  <c r="G5" i="9"/>
  <c r="E5" i="9"/>
  <c r="C5" i="9"/>
  <c r="K4" i="9"/>
  <c r="I4" i="9"/>
  <c r="G4" i="9"/>
  <c r="E4" i="9"/>
  <c r="C4" i="9"/>
  <c r="K3" i="9"/>
  <c r="I3" i="9"/>
  <c r="G3" i="9"/>
  <c r="E3" i="9"/>
  <c r="C3" i="9"/>
  <c r="B10" i="7"/>
  <c r="B8" i="5"/>
  <c r="D10" i="4"/>
  <c r="D9" i="4"/>
  <c r="D8" i="4"/>
  <c r="D7" i="4"/>
  <c r="D6" i="4"/>
  <c r="D5" i="4"/>
  <c r="C65" i="8" l="1"/>
  <c r="C64" i="8"/>
  <c r="B6" i="11"/>
  <c r="E6" i="11" s="1"/>
  <c r="B2" i="11"/>
  <c r="E2" i="11" s="1"/>
  <c r="B5" i="12"/>
  <c r="B10" i="11"/>
  <c r="E10" i="11" s="1"/>
  <c r="B8" i="11"/>
  <c r="E8" i="11" s="1"/>
  <c r="B4" i="11"/>
  <c r="E4" i="11" s="1"/>
  <c r="B3" i="12" l="1"/>
  <c r="C72" i="8"/>
  <c r="E12" i="11"/>
  <c r="I16" i="12"/>
  <c r="B16" i="12"/>
  <c r="B11" i="12" l="1"/>
  <c r="B16" i="11"/>
  <c r="B4" i="12" s="1"/>
  <c r="B12" i="12" s="1"/>
  <c r="B15" i="11"/>
  <c r="I17" i="12"/>
  <c r="B17" i="12"/>
  <c r="C16" i="12" l="1"/>
  <c r="J16" i="12"/>
  <c r="J17" i="12"/>
  <c r="I18" i="12"/>
  <c r="C17" i="12"/>
  <c r="B18" i="12"/>
  <c r="J18" i="12" l="1"/>
  <c r="I19" i="12"/>
  <c r="C18" i="12"/>
  <c r="B19" i="12"/>
  <c r="J19" i="12" l="1"/>
  <c r="I20" i="12"/>
  <c r="C19" i="12"/>
  <c r="B20" i="12"/>
  <c r="J20" i="12" l="1"/>
  <c r="B36" i="12" s="1"/>
  <c r="B32" i="12"/>
  <c r="B33" i="12" s="1"/>
  <c r="B34" i="12" s="1"/>
  <c r="B37" i="12" s="1"/>
  <c r="C20" i="12"/>
  <c r="B26" i="12" s="1"/>
  <c r="B22" i="12"/>
  <c r="B23" i="12" s="1"/>
  <c r="B24" i="12" s="1"/>
  <c r="B27" i="12" s="1"/>
  <c r="B38" i="12" l="1"/>
  <c r="B39" i="12" s="1"/>
  <c r="B28" i="12"/>
  <c r="B30" i="12" l="1"/>
</calcChain>
</file>

<file path=xl/sharedStrings.xml><?xml version="1.0" encoding="utf-8"?>
<sst xmlns="http://schemas.openxmlformats.org/spreadsheetml/2006/main" count="257" uniqueCount="225">
  <si>
    <t>Approach 1 | Ke = 12.47% | Last Dividend = $4.95 | Base intrinsic value = $60.33</t>
  </si>
  <si>
    <t>↕</t>
  </si>
  <si>
    <t>g2 \ g1</t>
  </si>
  <si>
    <t>← HIGH GROWTH RATE (g1) →</t>
  </si>
  <si>
    <t>Approach 1 | g2 (stable) = 2.225% | Last Dividend = $4.95 | Base intrinsic value = $60.33</t>
  </si>
  <si>
    <t>g1 \ Ke</t>
  </si>
  <si>
    <t>← COST OF EQUITY (Ke) →</t>
  </si>
  <si>
    <t>Legend:   Green = Higher intrinsic value (more favourable)   |   Red = Lower intrinsic value (less favourable)   |   Blue highlighted = Base case assumption</t>
  </si>
  <si>
    <t>DATE</t>
  </si>
  <si>
    <t>Open</t>
  </si>
  <si>
    <t>High</t>
  </si>
  <si>
    <t xml:space="preserve">Low </t>
  </si>
  <si>
    <t xml:space="preserve">Close </t>
  </si>
  <si>
    <t>Adj Close</t>
  </si>
  <si>
    <t>Volume</t>
  </si>
  <si>
    <t>Apr 24, 2026</t>
  </si>
  <si>
    <t>Apr 1, 2026</t>
  </si>
  <si>
    <t>Mar 1, 2026</t>
  </si>
  <si>
    <t>Feb 1, 2026</t>
  </si>
  <si>
    <t>Jan 1, 2026</t>
  </si>
  <si>
    <t>Dec 1, 2025</t>
  </si>
  <si>
    <t>Nov 1, 2025</t>
  </si>
  <si>
    <t>Oct 1, 2025</t>
  </si>
  <si>
    <t>Sep 1, 2025</t>
  </si>
  <si>
    <t>Aug 1, 2025</t>
  </si>
  <si>
    <t>CBA.AX monthly cl prices (60 months)</t>
  </si>
  <si>
    <t>Jul 1,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</si>
  <si>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</si>
  <si>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</si>
  <si>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</si>
  <si>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</si>
  <si>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</si>
  <si>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</si>
  <si>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</si>
  <si>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1, 2024</t>
  </si>
  <si>
    <t>Oct 1, 2024</t>
  </si>
  <si>
    <t>Sep 1, 2024</t>
  </si>
  <si>
    <t>Aug 1, 2024</t>
  </si>
  <si>
    <t>Jul 1, 2024</t>
  </si>
  <si>
    <t>Jun 1, 2024</t>
  </si>
  <si>
    <t>May 1, 2024</t>
  </si>
  <si>
    <t>Apr 1, 2024</t>
  </si>
  <si>
    <t>Mar 1, 2024</t>
  </si>
  <si>
    <t>Feb 1, 2024</t>
  </si>
  <si>
    <t>Jan 1, 2024</t>
  </si>
  <si>
    <t>Dec 1, 2023</t>
  </si>
  <si>
    <t>Nov 1, 2023</t>
  </si>
  <si>
    <t>Oct 1, 2023</t>
  </si>
  <si>
    <t>Sep 1, 2023</t>
  </si>
  <si>
    <t>Aug 1, 2023</t>
  </si>
  <si>
    <t>Jul 1, 2023</t>
  </si>
  <si>
    <t>Jun 1, 2023</t>
  </si>
  <si>
    <t>May 1, 2023</t>
  </si>
  <si>
    <t>Apr 1,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</si>
  <si>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</si>
  <si>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</si>
  <si>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</si>
  <si>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</si>
  <si>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</si>
  <si>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</si>
  <si>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</si>
  <si>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</si>
  <si>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</si>
  <si>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1, 2022</t>
  </si>
  <si>
    <t>May 1, 2022</t>
  </si>
  <si>
    <t>Apr 1, 2022</t>
  </si>
  <si>
    <t>Mar 1, 2022</t>
  </si>
  <si>
    <t>Feb 1, 2022</t>
  </si>
  <si>
    <t>Jan 1, 2022</t>
  </si>
  <si>
    <t>Dec 1, 2021</t>
  </si>
  <si>
    <t>Nov 1, 2021</t>
  </si>
  <si>
    <t>Oct 1, 2021</t>
  </si>
  <si>
    <t>Sep 1, 2021</t>
  </si>
  <si>
    <t>Aug 1, 2021</t>
  </si>
  <si>
    <t>Jul 1, 2021</t>
  </si>
  <si>
    <t>Jun 1, 2021</t>
  </si>
  <si>
    <t>May 1, 2021</t>
  </si>
  <si>
    <t>Date</t>
  </si>
  <si>
    <t>Low</t>
  </si>
  <si>
    <t>Close</t>
  </si>
  <si>
    <t>ASX 200 Monthly data</t>
  </si>
  <si>
    <t>CBA TAX RATE</t>
  </si>
  <si>
    <t>Effective tax rate</t>
  </si>
  <si>
    <t>FINANCIAL YEAR</t>
  </si>
  <si>
    <t>INTERIM</t>
  </si>
  <si>
    <t>FINAL</t>
  </si>
  <si>
    <t>Total annual DPS</t>
  </si>
  <si>
    <t>FY2021</t>
  </si>
  <si>
    <t>FY2022</t>
  </si>
  <si>
    <t>FY2023</t>
  </si>
  <si>
    <t>FY2024</t>
  </si>
  <si>
    <t>FY2025</t>
  </si>
  <si>
    <t>High Growth Rate</t>
  </si>
  <si>
    <t xml:space="preserve">YEAR </t>
  </si>
  <si>
    <t xml:space="preserve">Yearly growth </t>
  </si>
  <si>
    <t>STABLE LONG-RUN GROWTH RATE</t>
  </si>
  <si>
    <t>&gt; EXCLUDED Year 2021 DUE TO COVID DISTORTION</t>
  </si>
  <si>
    <t>REAL GDP GROWTH</t>
  </si>
  <si>
    <t>D/E ratio</t>
  </si>
  <si>
    <t>Tax Rate</t>
  </si>
  <si>
    <t>Source</t>
  </si>
  <si>
    <t>CBA FY2025 Annual report</t>
  </si>
  <si>
    <t>Currrent Share Price</t>
  </si>
  <si>
    <t>MATURITY</t>
  </si>
  <si>
    <t>YIELD(% p.a.)</t>
  </si>
  <si>
    <t>1-Year</t>
  </si>
  <si>
    <t>2-Year</t>
  </si>
  <si>
    <t>3-Year</t>
  </si>
  <si>
    <t>5-Year</t>
  </si>
  <si>
    <t>10-Year</t>
  </si>
  <si>
    <t>15-Year</t>
  </si>
  <si>
    <t>Selected Risk-Free Rate</t>
  </si>
  <si>
    <t>Maturity selected</t>
  </si>
  <si>
    <t>10-year</t>
  </si>
  <si>
    <t>Justification</t>
  </si>
  <si>
    <t>Matches long-duration equity investment horizon</t>
  </si>
  <si>
    <t>AUSTRALIAN GOVERNMENT BOND YIELD CURVE</t>
  </si>
  <si>
    <t>Column1</t>
  </si>
  <si>
    <t>Column2</t>
  </si>
  <si>
    <t>Column3</t>
  </si>
  <si>
    <t>Column4</t>
  </si>
  <si>
    <t>Column5</t>
  </si>
  <si>
    <t>CBA PRICE ($)</t>
  </si>
  <si>
    <t>ASX 200 PRICE</t>
  </si>
  <si>
    <t xml:space="preserve">CBA RETURN </t>
  </si>
  <si>
    <t>ASX200 RETURN</t>
  </si>
  <si>
    <t>LEVERED BETA</t>
  </si>
  <si>
    <t>COVARIANCE METHOD</t>
  </si>
  <si>
    <t>Debt-to-Equity Ratio(D/E)</t>
  </si>
  <si>
    <t>Corporate Tax Rate</t>
  </si>
  <si>
    <t>Unlevered Beta</t>
  </si>
  <si>
    <t>WBC Price</t>
  </si>
  <si>
    <t>WBC Return</t>
  </si>
  <si>
    <t>ANZ Price</t>
  </si>
  <si>
    <t xml:space="preserve">ANZ Return </t>
  </si>
  <si>
    <t>NAB Price</t>
  </si>
  <si>
    <t>NAB Return</t>
  </si>
  <si>
    <t>MQG Price</t>
  </si>
  <si>
    <t xml:space="preserve">MQG Return </t>
  </si>
  <si>
    <t xml:space="preserve">BEN Price </t>
  </si>
  <si>
    <t xml:space="preserve">BEN return </t>
  </si>
  <si>
    <t>COMPANY</t>
  </si>
  <si>
    <t>D/E</t>
  </si>
  <si>
    <t>TAX RATE</t>
  </si>
  <si>
    <t>UNLEVERED BETA</t>
  </si>
  <si>
    <t>WBC.AX</t>
  </si>
  <si>
    <t>ANZ.AX</t>
  </si>
  <si>
    <t>NAB.AX</t>
  </si>
  <si>
    <t>MQG.AX</t>
  </si>
  <si>
    <t>BEN.AX</t>
  </si>
  <si>
    <t>Average</t>
  </si>
  <si>
    <t>CBA D/E RATIO</t>
  </si>
  <si>
    <t>INDUSTRY AVG UNLEVERED BETA</t>
  </si>
  <si>
    <t>RELEVERED BETA APPROACH</t>
  </si>
  <si>
    <t>CBA LEVERED BETA</t>
  </si>
  <si>
    <t>CBA UNLEVERED BETA</t>
  </si>
  <si>
    <t>RISK-FREE RATE</t>
  </si>
  <si>
    <t>0.05036</t>
  </si>
  <si>
    <t>MARKET RISK PREMIUM</t>
  </si>
  <si>
    <t>Levered Beta (Approach 1)</t>
  </si>
  <si>
    <t>Relevered beta (Approach 2)</t>
  </si>
  <si>
    <t>High Growth Rate (g1)</t>
  </si>
  <si>
    <t>Stable Growth rate (g2)</t>
  </si>
  <si>
    <t>Last dividend (FY2025)</t>
  </si>
  <si>
    <t>Calculating CAPM Cost of Equity</t>
  </si>
  <si>
    <t>Ke - Approach 1 (Firm Beta)</t>
  </si>
  <si>
    <t>Ke - Approach 2 (industry beta)</t>
  </si>
  <si>
    <t>PV of Dividends Approach 1</t>
  </si>
  <si>
    <t>PV of dividends approach 2</t>
  </si>
  <si>
    <t>YEAR</t>
  </si>
  <si>
    <t>Dividend ($)</t>
  </si>
  <si>
    <t>PV of Dividend</t>
  </si>
  <si>
    <t>Dividend($)</t>
  </si>
  <si>
    <t>YEAR 6 Dividend</t>
  </si>
  <si>
    <t>Terminal Value (At Year 5)</t>
  </si>
  <si>
    <t>PV of Terminal Value</t>
  </si>
  <si>
    <t>Sum of PV Dividends</t>
  </si>
  <si>
    <t>PV of Terminal value</t>
  </si>
  <si>
    <t>Intrinsic Value (App1)</t>
  </si>
  <si>
    <t>Current Market Price</t>
  </si>
  <si>
    <t>Over/Undervaluation</t>
  </si>
  <si>
    <t>Year 6 dividend (App 2)</t>
  </si>
  <si>
    <t>Terminal Value (App 2)</t>
  </si>
  <si>
    <t>PV of Terminal Value (App 2)</t>
  </si>
  <si>
    <t>Sum of PV dividends (App 2)</t>
  </si>
  <si>
    <t>Intrinsic Value (App2)</t>
  </si>
  <si>
    <t>Over/Undervaluation(App2)</t>
  </si>
  <si>
    <t>TABLE 1: Intrinsic Value Sensitivity - Stable Growth Rate (g2) vs High Growth Rate (g1)</t>
  </si>
  <si>
    <t>TABLE 2: Intrinsic Value Sensitivity - High Growth Rate (g1) vs Cost of Equity (Ke)</t>
  </si>
  <si>
    <t>Note: Base case values -  g1 = 7.19%, g2 = 2.225%, Ke (App 1) = 12.47%. All values represent intrinsic value per share ($AUD).</t>
  </si>
  <si>
    <t xml:space="preserve">calculation for high growth </t>
  </si>
  <si>
    <t>Q1(a) - Australian Government Bond Yield Curve</t>
  </si>
  <si>
    <t>RISK FREE RATE</t>
  </si>
  <si>
    <t>Levered beta</t>
  </si>
  <si>
    <t>Beta method</t>
  </si>
  <si>
    <t>SLOPE + Covariance/Variance</t>
  </si>
  <si>
    <t xml:space="preserve">10- yr AGB Justification </t>
  </si>
  <si>
    <t xml:space="preserve">Market risk premium </t>
  </si>
  <si>
    <t>Unlevered beta</t>
  </si>
  <si>
    <t>Matches long duration equity horizon</t>
  </si>
  <si>
    <t>5.04%</t>
  </si>
  <si>
    <t>SECTION 2 - Peer Betas</t>
  </si>
  <si>
    <t>SECTION 1 - Part1 Inputs</t>
  </si>
  <si>
    <t>Section 3 - DDM Inputs</t>
  </si>
  <si>
    <t xml:space="preserve">Ke Approach 1 </t>
  </si>
  <si>
    <t>Ke Approach 2</t>
  </si>
  <si>
    <t xml:space="preserve">Label </t>
  </si>
  <si>
    <t>Values</t>
  </si>
  <si>
    <t>PV of Dividends (Yr 1–5)</t>
  </si>
  <si>
    <t>Terminal Value</t>
  </si>
  <si>
    <t>Market Price</t>
  </si>
  <si>
    <t>Approach 1</t>
  </si>
  <si>
    <t xml:space="preserve">Approach 2 </t>
  </si>
  <si>
    <t>Intrinsic value</t>
  </si>
  <si>
    <t>Over/undervaluation</t>
  </si>
  <si>
    <t>Label</t>
  </si>
  <si>
    <t>Section 4 - DDM results</t>
  </si>
  <si>
    <t>Section 5 - Recommendation</t>
  </si>
  <si>
    <t>Valuation range</t>
  </si>
  <si>
    <t>Verdict</t>
  </si>
  <si>
    <t>Recommendation</t>
  </si>
  <si>
    <t>$60.33-$61.57</t>
  </si>
  <si>
    <t>Overvalued (both approaches)</t>
  </si>
  <si>
    <t>HOLD/AVOID</t>
  </si>
  <si>
    <t>As of 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</si>
</sst>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F800]dddd\,\ mmmm\ dd\,\ yyyy"/>
    <numFmt numFmtId="165" formatCode="0.00000"/>
    <numFmt numFmtId="166" formatCode="\$#,##0.00"/>
  </numFmts>
  <fonts count="5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6"/>
      <color theme="1"/>
      <name val="Aptos Narrow"/>
      <scheme val="minor"/>
    </font>
    <font>
      <sz val="18"/>
      <color theme="1"/>
      <name val="Aptos Narrow"/>
      <scheme val="minor"/>
    </font>
    <font>
      <sz val="14"/>
      <color theme="0"/>
      <name val="Aptos Narrow"/>
      <scheme val="minor"/>
    </font>
    <font>
      <sz val="14"/>
      <color theme="1"/>
      <name val="Aptos Narrow"/>
      <scheme val="minor"/>
    </font>
    <font>
      <b/>
      <sz val="14"/>
      <color theme="3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FA7D00"/>
      <name val="Aptos Narrow"/>
      <family val="2"/>
      <scheme val="minor"/>
    </font>
    <font>
      <b/>
      <sz val="22"/>
      <color rgb="FFFA7D00"/>
      <name val="Aptos Narrow"/>
      <family val="2"/>
      <scheme val="minor"/>
    </font>
    <font>
      <b/>
      <sz val="16"/>
      <color rgb="FF000000"/>
      <name val="Aptos Narrow"/>
      <scheme val="minor"/>
    </font>
    <font>
      <sz val="12"/>
      <color rgb="FF9C57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6"/>
      <color rgb="FF000000"/>
      <name val="Aptos Narrow"/>
      <family val="2"/>
      <scheme val="minor"/>
    </font>
    <font>
      <i/>
      <sz val="12"/>
      <color rgb="FF0C447C"/>
      <name val="Arial"/>
      <family val="2"/>
    </font>
    <font>
      <b/>
      <sz val="12"/>
      <name val="Aptos Narrow"/>
    </font>
    <font>
      <b/>
      <sz val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i/>
      <sz val="12"/>
      <color rgb="FF444441"/>
      <name val="Arial"/>
      <family val="2"/>
    </font>
    <font>
      <b/>
      <sz val="16"/>
      <color theme="3"/>
      <name val="Aptos Narrow"/>
      <family val="2"/>
      <scheme val="minor"/>
    </font>
    <font>
      <i/>
      <sz val="16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6"/>
      <color theme="0"/>
      <name val="Aptos Narrow"/>
      <scheme val="minor"/>
    </font>
    <font>
      <sz val="16"/>
      <color theme="0"/>
      <name val="Aptos Narrow"/>
      <scheme val="minor"/>
    </font>
    <font>
      <b/>
      <sz val="12"/>
      <color theme="1"/>
      <name val="Aptos Narrow"/>
      <family val="2"/>
      <scheme val="minor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22"/>
      <color theme="0"/>
      <name val="Arial"/>
      <family val="2"/>
    </font>
    <font>
      <b/>
      <sz val="14"/>
      <color theme="1"/>
      <name val="Arial"/>
      <family val="2"/>
    </font>
    <font>
      <b/>
      <sz val="9"/>
      <color theme="3"/>
      <name val="Arial"/>
      <family val="2"/>
    </font>
    <font>
      <sz val="9"/>
      <color theme="1"/>
      <name val="Arial"/>
      <family val="2"/>
    </font>
    <font>
      <sz val="12"/>
      <color theme="1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i/>
      <sz val="12"/>
      <color theme="1"/>
      <name val="Aptos Narrow"/>
      <scheme val="minor"/>
    </font>
    <font>
      <sz val="14"/>
      <color rgb="FFFFFFFF"/>
      <name val="-webkit-standard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D3D1C7"/>
      </patternFill>
    </fill>
    <fill>
      <patternFill patternType="solid">
        <fgColor rgb="FFB5D4F4"/>
      </patternFill>
    </fill>
    <fill>
      <patternFill patternType="solid">
        <fgColor rgb="FF378ADD"/>
      </patternFill>
    </fill>
    <fill>
      <patternFill patternType="solid">
        <fgColor rgb="FFC0DD97"/>
      </patternFill>
    </fill>
    <fill>
      <patternFill patternType="solid">
        <fgColor rgb="FF639922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5" fillId="0" borderId="1"/>
    <xf numFmtId="0" fontId="6" fillId="0" borderId="2"/>
    <xf numFmtId="0" fontId="7" fillId="3" borderId="0"/>
    <xf numFmtId="0" fontId="4" fillId="4" borderId="0"/>
    <xf numFmtId="0" fontId="15" fillId="5" borderId="3"/>
    <xf numFmtId="0" fontId="18" fillId="8" borderId="0"/>
  </cellStyleXfs>
  <cellXfs count="108">
    <xf numFmtId="0" fontId="0" fillId="0" borderId="0" xfId="0"/>
    <xf numFmtId="44" fontId="0" fillId="0" borderId="0" xfId="0" applyNumberFormat="1"/>
    <xf numFmtId="0" fontId="2" fillId="0" borderId="0" xfId="0" applyFont="1"/>
    <xf numFmtId="0" fontId="3" fillId="0" borderId="0" xfId="0" applyFont="1"/>
    <xf numFmtId="0" fontId="8" fillId="3" borderId="0" xfId="3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2" fillId="0" borderId="0" xfId="0" applyFont="1"/>
    <xf numFmtId="0" fontId="16" fillId="5" borderId="3" xfId="5" applyFont="1"/>
    <xf numFmtId="0" fontId="19" fillId="0" borderId="0" xfId="0" applyFont="1"/>
    <xf numFmtId="0" fontId="19" fillId="9" borderId="0" xfId="0" applyFont="1" applyFill="1"/>
    <xf numFmtId="0" fontId="3" fillId="9" borderId="0" xfId="0" applyFont="1" applyFill="1"/>
    <xf numFmtId="0" fontId="3" fillId="7" borderId="0" xfId="0" applyFont="1" applyFill="1"/>
    <xf numFmtId="0" fontId="19" fillId="7" borderId="0" xfId="0" applyFont="1" applyFill="1"/>
    <xf numFmtId="0" fontId="3" fillId="2" borderId="0" xfId="0" applyFont="1" applyFill="1"/>
    <xf numFmtId="0" fontId="19" fillId="2" borderId="0" xfId="0" applyFont="1" applyFill="1"/>
    <xf numFmtId="0" fontId="20" fillId="0" borderId="0" xfId="0" applyFont="1"/>
    <xf numFmtId="0" fontId="24" fillId="0" borderId="0" xfId="0" applyFont="1"/>
    <xf numFmtId="0" fontId="25" fillId="13" borderId="4" xfId="0" applyFont="1" applyFill="1" applyBorder="1" applyAlignment="1">
      <alignment horizontal="center" vertical="center"/>
    </xf>
    <xf numFmtId="0" fontId="0" fillId="0" borderId="4" xfId="0" applyBorder="1"/>
    <xf numFmtId="10" fontId="26" fillId="14" borderId="4" xfId="0" applyNumberFormat="1" applyFont="1" applyFill="1" applyBorder="1" applyAlignment="1">
      <alignment horizontal="center" vertical="center"/>
    </xf>
    <xf numFmtId="10" fontId="21" fillId="15" borderId="4" xfId="0" applyNumberFormat="1" applyFont="1" applyFill="1" applyBorder="1" applyAlignment="1">
      <alignment horizontal="center" vertical="center"/>
    </xf>
    <xf numFmtId="10" fontId="26" fillId="16" borderId="4" xfId="0" applyNumberFormat="1" applyFont="1" applyFill="1" applyBorder="1" applyAlignment="1">
      <alignment horizontal="center" vertical="center"/>
    </xf>
    <xf numFmtId="166" fontId="27" fillId="0" borderId="4" xfId="0" applyNumberFormat="1" applyFont="1" applyBorder="1" applyAlignment="1">
      <alignment horizontal="center" vertical="center"/>
    </xf>
    <xf numFmtId="10" fontId="21" fillId="17" borderId="4" xfId="0" applyNumberFormat="1" applyFont="1" applyFill="1" applyBorder="1" applyAlignment="1">
      <alignment horizontal="center" vertical="center"/>
    </xf>
    <xf numFmtId="0" fontId="29" fillId="0" borderId="0" xfId="1" applyFont="1" applyBorder="1"/>
    <xf numFmtId="0" fontId="30" fillId="0" borderId="0" xfId="0" applyFont="1"/>
    <xf numFmtId="0" fontId="3" fillId="0" borderId="4" xfId="0" applyFont="1" applyBorder="1"/>
    <xf numFmtId="0" fontId="9" fillId="0" borderId="4" xfId="0" applyFont="1" applyBorder="1"/>
    <xf numFmtId="0" fontId="22" fillId="6" borderId="0" xfId="0" applyFont="1" applyFill="1" applyAlignment="1">
      <alignment wrapText="1"/>
    </xf>
    <xf numFmtId="0" fontId="14" fillId="6" borderId="0" xfId="0" applyFont="1" applyFill="1" applyAlignment="1">
      <alignment wrapText="1"/>
    </xf>
    <xf numFmtId="44" fontId="3" fillId="6" borderId="0" xfId="0" applyNumberFormat="1" applyFont="1" applyFill="1" applyAlignment="1">
      <alignment wrapText="1"/>
    </xf>
    <xf numFmtId="0" fontId="32" fillId="18" borderId="4" xfId="6" applyFont="1" applyFill="1" applyBorder="1"/>
    <xf numFmtId="0" fontId="33" fillId="18" borderId="4" xfId="6" applyFont="1" applyFill="1" applyBorder="1"/>
    <xf numFmtId="44" fontId="33" fillId="18" borderId="4" xfId="6" applyNumberFormat="1" applyFont="1" applyFill="1" applyBorder="1"/>
    <xf numFmtId="0" fontId="35" fillId="3" borderId="0" xfId="3" applyFont="1"/>
    <xf numFmtId="44" fontId="35" fillId="3" borderId="0" xfId="3" applyNumberFormat="1" applyFont="1"/>
    <xf numFmtId="164" fontId="37" fillId="0" borderId="0" xfId="0" applyNumberFormat="1" applyFont="1"/>
    <xf numFmtId="44" fontId="37" fillId="0" borderId="0" xfId="0" applyNumberFormat="1" applyFont="1"/>
    <xf numFmtId="17" fontId="37" fillId="0" borderId="0" xfId="0" applyNumberFormat="1" applyFont="1"/>
    <xf numFmtId="0" fontId="37" fillId="0" borderId="0" xfId="0" applyFont="1"/>
    <xf numFmtId="0" fontId="38" fillId="0" borderId="0" xfId="0" applyFont="1"/>
    <xf numFmtId="0" fontId="39" fillId="3" borderId="0" xfId="3" applyFont="1"/>
    <xf numFmtId="0" fontId="40" fillId="0" borderId="0" xfId="0" applyFont="1"/>
    <xf numFmtId="15" fontId="37" fillId="0" borderId="0" xfId="0" applyNumberFormat="1" applyFont="1"/>
    <xf numFmtId="4" fontId="37" fillId="0" borderId="0" xfId="0" applyNumberFormat="1" applyFont="1"/>
    <xf numFmtId="3" fontId="37" fillId="0" borderId="0" xfId="0" applyNumberFormat="1" applyFont="1"/>
    <xf numFmtId="0" fontId="39" fillId="18" borderId="0" xfId="3" applyFont="1" applyFill="1"/>
    <xf numFmtId="0" fontId="42" fillId="0" borderId="0" xfId="0" applyFont="1"/>
    <xf numFmtId="0" fontId="36" fillId="19" borderId="0" xfId="1" applyFont="1" applyFill="1" applyBorder="1"/>
    <xf numFmtId="0" fontId="41" fillId="0" borderId="4" xfId="1" applyFont="1" applyBorder="1"/>
    <xf numFmtId="0" fontId="42" fillId="0" borderId="4" xfId="0" applyFont="1" applyBorder="1"/>
    <xf numFmtId="0" fontId="41" fillId="20" borderId="4" xfId="1" applyFont="1" applyFill="1" applyBorder="1"/>
    <xf numFmtId="10" fontId="41" fillId="20" borderId="4" xfId="1" applyNumberFormat="1" applyFont="1" applyFill="1" applyBorder="1"/>
    <xf numFmtId="0" fontId="11" fillId="18" borderId="0" xfId="3" applyFont="1" applyFill="1"/>
    <xf numFmtId="0" fontId="12" fillId="22" borderId="0" xfId="0" applyFont="1" applyFill="1"/>
    <xf numFmtId="0" fontId="0" fillId="22" borderId="0" xfId="0" applyFill="1"/>
    <xf numFmtId="17" fontId="12" fillId="20" borderId="4" xfId="4" applyNumberFormat="1" applyFont="1" applyFill="1" applyBorder="1"/>
    <xf numFmtId="0" fontId="13" fillId="20" borderId="4" xfId="2" applyFont="1" applyFill="1" applyBorder="1"/>
    <xf numFmtId="17" fontId="12" fillId="21" borderId="4" xfId="4" applyNumberFormat="1" applyFont="1" applyFill="1" applyBorder="1"/>
    <xf numFmtId="0" fontId="13" fillId="21" borderId="4" xfId="2" applyFont="1" applyFill="1" applyBorder="1"/>
    <xf numFmtId="17" fontId="12" fillId="22" borderId="4" xfId="4" applyNumberFormat="1" applyFont="1" applyFill="1" applyBorder="1"/>
    <xf numFmtId="0" fontId="13" fillId="22" borderId="4" xfId="2" applyFont="1" applyFill="1" applyBorder="1"/>
    <xf numFmtId="0" fontId="12" fillId="22" borderId="4" xfId="4" applyFont="1" applyFill="1" applyBorder="1"/>
    <xf numFmtId="0" fontId="12" fillId="22" borderId="4" xfId="0" applyFont="1" applyFill="1" applyBorder="1"/>
    <xf numFmtId="0" fontId="14" fillId="22" borderId="4" xfId="0" applyFont="1" applyFill="1" applyBorder="1"/>
    <xf numFmtId="0" fontId="3" fillId="21" borderId="4" xfId="0" applyFont="1" applyFill="1" applyBorder="1"/>
    <xf numFmtId="0" fontId="9" fillId="21" borderId="4" xfId="0" applyFont="1" applyFill="1" applyBorder="1"/>
    <xf numFmtId="9" fontId="9" fillId="21" borderId="4" xfId="0" applyNumberFormat="1" applyFont="1" applyFill="1" applyBorder="1"/>
    <xf numFmtId="44" fontId="9" fillId="21" borderId="4" xfId="0" applyNumberFormat="1" applyFont="1" applyFill="1" applyBorder="1"/>
    <xf numFmtId="0" fontId="32" fillId="23" borderId="4" xfId="0" applyFont="1" applyFill="1" applyBorder="1"/>
    <xf numFmtId="0" fontId="12" fillId="0" borderId="4" xfId="0" applyFont="1" applyBorder="1"/>
    <xf numFmtId="0" fontId="44" fillId="0" borderId="4" xfId="0" applyFont="1" applyBorder="1"/>
    <xf numFmtId="0" fontId="45" fillId="0" borderId="4" xfId="0" applyFont="1" applyBorder="1"/>
    <xf numFmtId="0" fontId="31" fillId="18" borderId="0" xfId="0" applyFont="1" applyFill="1" applyAlignment="1">
      <alignment horizontal="left" vertical="top"/>
    </xf>
    <xf numFmtId="0" fontId="44" fillId="2" borderId="4" xfId="0" applyFont="1" applyFill="1" applyBorder="1"/>
    <xf numFmtId="0" fontId="44" fillId="20" borderId="4" xfId="0" applyFont="1" applyFill="1" applyBorder="1"/>
    <xf numFmtId="0" fontId="45" fillId="20" borderId="4" xfId="0" applyFont="1" applyFill="1" applyBorder="1"/>
    <xf numFmtId="0" fontId="17" fillId="6" borderId="4" xfId="0" applyFont="1" applyFill="1" applyBorder="1"/>
    <xf numFmtId="0" fontId="14" fillId="6" borderId="4" xfId="0" applyFont="1" applyFill="1" applyBorder="1"/>
    <xf numFmtId="44" fontId="3" fillId="6" borderId="4" xfId="0" applyNumberFormat="1" applyFont="1" applyFill="1" applyBorder="1"/>
    <xf numFmtId="15" fontId="17" fillId="0" borderId="4" xfId="0" applyNumberFormat="1" applyFont="1" applyBorder="1"/>
    <xf numFmtId="44" fontId="12" fillId="0" borderId="4" xfId="0" applyNumberFormat="1" applyFont="1" applyBorder="1"/>
    <xf numFmtId="44" fontId="9" fillId="0" borderId="4" xfId="0" applyNumberFormat="1" applyFont="1" applyBorder="1"/>
    <xf numFmtId="165" fontId="12" fillId="0" borderId="4" xfId="0" applyNumberFormat="1" applyFont="1" applyBorder="1"/>
    <xf numFmtId="44" fontId="0" fillId="0" borderId="4" xfId="0" applyNumberFormat="1" applyBorder="1"/>
    <xf numFmtId="15" fontId="46" fillId="0" borderId="0" xfId="0" applyNumberFormat="1" applyFont="1"/>
    <xf numFmtId="0" fontId="47" fillId="0" borderId="0" xfId="0" applyFont="1"/>
    <xf numFmtId="0" fontId="48" fillId="0" borderId="0" xfId="0" applyFont="1"/>
    <xf numFmtId="10" fontId="0" fillId="0" borderId="0" xfId="0" applyNumberFormat="1"/>
    <xf numFmtId="9" fontId="0" fillId="0" borderId="0" xfId="0" applyNumberFormat="1"/>
    <xf numFmtId="10" fontId="43" fillId="0" borderId="0" xfId="0" applyNumberFormat="1" applyFont="1"/>
    <xf numFmtId="0" fontId="49" fillId="0" borderId="0" xfId="0" applyFont="1"/>
    <xf numFmtId="8" fontId="43" fillId="0" borderId="0" xfId="0" applyNumberFormat="1" applyFont="1"/>
    <xf numFmtId="0" fontId="34" fillId="0" borderId="0" xfId="0" applyFont="1"/>
    <xf numFmtId="0" fontId="50" fillId="0" borderId="0" xfId="0" applyFont="1"/>
    <xf numFmtId="8" fontId="0" fillId="0" borderId="0" xfId="0" applyNumberFormat="1"/>
    <xf numFmtId="0" fontId="0" fillId="21" borderId="0" xfId="0" applyFill="1"/>
    <xf numFmtId="0" fontId="2" fillId="21" borderId="4" xfId="0" applyFont="1" applyFill="1" applyBorder="1"/>
    <xf numFmtId="0" fontId="0" fillId="21" borderId="4" xfId="0" applyFill="1" applyBorder="1"/>
    <xf numFmtId="0" fontId="49" fillId="21" borderId="0" xfId="0" applyFont="1" applyFill="1"/>
    <xf numFmtId="0" fontId="21" fillId="10" borderId="0" xfId="0" applyFont="1" applyFill="1" applyAlignment="1">
      <alignment horizontal="center" vertical="center"/>
    </xf>
    <xf numFmtId="0" fontId="0" fillId="0" borderId="0" xfId="0"/>
    <xf numFmtId="0" fontId="28" fillId="0" borderId="0" xfId="0" applyFont="1" applyAlignment="1">
      <alignment horizontal="center"/>
    </xf>
    <xf numFmtId="0" fontId="23" fillId="11" borderId="0" xfId="0" applyFont="1" applyFill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0" fillId="0" borderId="4" xfId="0" applyBorder="1"/>
  </cellXfs>
  <cellStyles count="7">
    <cellStyle name="20% - Accent1" xfId="4" builtinId="30"/>
    <cellStyle name="Accent1" xfId="3" builtinId="29"/>
    <cellStyle name="Calculation" xfId="5" builtinId="22"/>
    <cellStyle name="Heading 2" xfId="1" builtinId="17"/>
    <cellStyle name="Heading 3" xfId="2" builtinId="18"/>
    <cellStyle name="Neutral" xfId="6" builtinId="28"/>
    <cellStyle name="Normal" xfId="0" builtinId="0"/>
  </cellStyles>
  <dxfs count="62"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vertAlign val="baseline"/>
        <sz val="16"/>
        <color theme="1"/>
        <name val="Aptos Narrow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6"/>
        <color theme="1"/>
        <name val="Aptos Narrow"/>
        <scheme val="minor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20" formatCode="d\-mmm\-yy"/>
    </dxf>
    <dxf>
      <font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b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2" defaultTableStyle="TableStyleMedium2" defaultPivotStyle="PivotStyleLight16">
    <tableStyle name="Table Style 1" pivot="0" count="0" xr9:uid="{AA1DB862-9D19-144E-B935-CF57807AD7CE}"/>
    <tableStyle name="Table Style 2" pivot="0" count="1" xr9:uid="{6DB5075E-53A2-A848-B85D-DEC80B62EDE4}">
      <tableStyleElement type="secondRowStripe" size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endParaRPr lang="en-AU"/>
          </a:p>
        </c:rich>
      </c:tx>
      <c:layout>
        <c:manualLayout>
          <c:xMode val="edge"/>
          <c:yMode val="edge"/>
          <c:x val="0.25989297309400311"/>
          <c:y val="3.577817531305903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0652386461171029E-2"/>
          <c:y val="1.9832167832167839E-2"/>
          <c:w val="0.929347613538829"/>
          <c:h val="0.83158526512857223"/>
        </c:manualLayout>
      </c:layout>
      <c:lineChart>
        <c:grouping val="standard"/>
        <c:varyColors val="0"/>
        <c:ser>
          <c:idx val="0"/>
          <c:order val="0"/>
          <c:tx>
            <c:strRef>
              <c:f>'(BOND YIELDS &amp; RISK FREE RATE'!$H$19</c:f>
              <c:strCache>
                <c:ptCount val="1"/>
                <c:pt idx="0">
                  <c:v>AUSTRALIAN GOVERNMENT BOND YIELD CURVE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'(BOND YIELDS &amp; RISK FREE RATE'!$A$4:$A$9</c:f>
              <c:strCache>
                <c:ptCount val="6"/>
                <c:pt idx="0">
                  <c:v>1-Year</c:v>
                </c:pt>
                <c:pt idx="1">
                  <c:v>2-Year</c:v>
                </c:pt>
                <c:pt idx="2">
                  <c:v>3-Year</c:v>
                </c:pt>
                <c:pt idx="3">
                  <c:v>5-Year</c:v>
                </c:pt>
                <c:pt idx="4">
                  <c:v>10-Year</c:v>
                </c:pt>
                <c:pt idx="5">
                  <c:v>15-Year</c:v>
                </c:pt>
              </c:strCache>
            </c:strRef>
          </c:cat>
          <c:val>
            <c:numRef>
              <c:f>'(BOND YIELDS &amp; RISK FREE RATE'!$B$4:$B$9</c:f>
              <c:numCache>
                <c:formatCode>General</c:formatCode>
                <c:ptCount val="6"/>
                <c:pt idx="0">
                  <c:v>4.7039999999999997</c:v>
                </c:pt>
                <c:pt idx="1">
                  <c:v>4.7270000000000003</c:v>
                </c:pt>
                <c:pt idx="2">
                  <c:v>4.7149999999999999</c:v>
                </c:pt>
                <c:pt idx="3">
                  <c:v>4.734</c:v>
                </c:pt>
                <c:pt idx="4">
                  <c:v>5.0359999999999996</c:v>
                </c:pt>
                <c:pt idx="5">
                  <c:v>5.234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4-874B-95DE-8356B4203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4294848"/>
        <c:axId val="1222937664"/>
      </c:lineChart>
      <c:catAx>
        <c:axId val="134429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37664"/>
        <c:crosses val="autoZero"/>
        <c:auto val="1"/>
        <c:lblAlgn val="ctr"/>
        <c:lblOffset val="100"/>
        <c:noMultiLvlLbl val="0"/>
      </c:catAx>
      <c:valAx>
        <c:axId val="12229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29484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120650</xdr:colOff>
      <xdr:row>0</xdr:row>
      <xdr:rowOff>69850</xdr:rowOff>
    </xdr:from>
    <xdr:to>
      <xdr:col>11</xdr:col>
      <xdr:colOff>520700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E08B80-0BCA-F647-9958-ECB5AB114A3C}" name="Table10" displayName="Table10" ref="B2:C9" totalsRowShown="0">
  <autoFilter ref="B2:C9" xr:uid="{63E08B80-0BCA-F647-9958-ECB5AB114A3C}"/>
  <tableColumns count="2">
    <tableColumn id="1" xr3:uid="{F20CCE28-9C11-A743-92F3-2FD57DFAF607}" name="RISK FREE RATE" dataDxfId="61"/>
    <tableColumn id="2" xr3:uid="{7800C794-9D80-D449-97F6-E1AB63F15C0F}" name="5.04%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78D95EC-BFBB-7240-BE81-D9354D29AF61}" name="Table12" displayName="Table12" ref="B13:F24" totalsRowShown="0">
  <autoFilter ref="B13:F24" xr:uid="{A78D95EC-BFBB-7240-BE81-D9354D29AF61}"/>
  <tableColumns count="5">
    <tableColumn id="1" xr3:uid="{FA6E6F55-9CBA-EE4B-86E6-EB0C3694F242}" name="COMPANY"/>
    <tableColumn id="2" xr3:uid="{6920E0BD-A67C-3C45-839E-CEFEC6DE2096}" name="LEVERED BETA"/>
    <tableColumn id="3" xr3:uid="{C26D207B-6972-6041-B630-B37F2BD59623}" name="D/E"/>
    <tableColumn id="4" xr3:uid="{59E626C0-E91F-204D-B8C8-F1A3575B9723}" name="TAX RATE"/>
    <tableColumn id="5" xr3:uid="{B4F5C1D6-ACEB-3C41-9AAA-B23E8376DCC9}" name="UNLEVERED BET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EA2FF96-6760-6241-AE9D-8C4B98DFB970}" name="Table14" displayName="Table14" ref="B27:C34" totalsRowShown="0">
  <autoFilter ref="B27:C34" xr:uid="{8EA2FF96-6760-6241-AE9D-8C4B98DFB970}"/>
  <tableColumns count="2">
    <tableColumn id="1" xr3:uid="{175C9E86-AECE-3E4E-A875-F56600BEF260}" name="Label " dataDxfId="60"/>
    <tableColumn id="2" xr3:uid="{63BFD588-FAB2-614F-9A2C-EAD90DEC9AEF}" name="Value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F85864-F104-F04B-A15D-89A8E22604B3}" name="Table15" displayName="Table15" ref="B35:D41" totalsRowShown="0" headerRowDxfId="59">
  <autoFilter ref="B35:D41" xr:uid="{77F85864-F104-F04B-A15D-89A8E22604B3}"/>
  <tableColumns count="3">
    <tableColumn id="1" xr3:uid="{915518DC-C77E-604E-BC76-CF2B1418332E}" name="Label" dataDxfId="58"/>
    <tableColumn id="2" xr3:uid="{70790314-55DD-8E4C-B92C-187E41BAAB91}" name="Approach 1" dataDxfId="57"/>
    <tableColumn id="3" xr3:uid="{68DAA5AF-C406-3446-B5AB-348C7D08B9FB}" name="Approach 2 " dataDxfId="56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BEA061-24AC-C043-904D-6C1AE1024365}" name="Table16" displayName="Table16" ref="B45:C48" totalsRowShown="0">
  <autoFilter ref="B45:C48" xr:uid="{5EBEA061-24AC-C043-904D-6C1AE1024365}"/>
  <tableColumns count="2">
    <tableColumn id="1" xr3:uid="{ADBC45E9-C7E2-F04E-A6FC-89E7622A9C7A}" name="Valuation range" dataDxfId="55"/>
    <tableColumn id="2" xr3:uid="{1B8AAFF5-C476-F84E-A2AD-38985B216DF6}" name="$60.33-$61.57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541AA9-E7B1-A74D-B8B3-0F317C7F8686}" name="Table3" displayName="Table3" ref="A1:G62" totalsRowShown="0" headerRowDxfId="54" dataDxfId="53" headerRowCellStyle="Accent1">
  <autoFilter ref="A1:G62" xr:uid="{30541AA9-E7B1-A74D-B8B3-0F317C7F8686}"/>
  <tableColumns count="7">
    <tableColumn id="1" xr3:uid="{BD5D91FA-4689-9148-9D69-D0CD1D0254D5}" name="DATE" dataDxfId="52"/>
    <tableColumn id="2" xr3:uid="{AB4E69BD-D8B2-4E40-9649-28003F9D16AB}" name="Open" dataDxfId="51"/>
    <tableColumn id="3" xr3:uid="{811846FA-7F3D-B042-9D08-0CC92C4DC1FE}" name="High" dataDxfId="50"/>
    <tableColumn id="4" xr3:uid="{495CD567-832B-AA4B-B7CB-6ECBC0EB1843}" name="Low " dataDxfId="49"/>
    <tableColumn id="5" xr3:uid="{CA95838B-A114-B044-A70B-E38330BE4871}" name="Close " dataDxfId="48"/>
    <tableColumn id="6" xr3:uid="{631902E6-A657-974F-8B81-EC85266FD41D}" name="Adj Close" dataDxfId="47"/>
    <tableColumn id="7" xr3:uid="{6C6F3663-B673-D94B-B9E4-112D249F5AD6}" name="Volume" dataDxfId="46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D4E18F-CDC0-8B4B-9107-DE80E01D3E0B}" name="Table9" displayName="Table9" ref="A1:G61" totalsRowShown="0" headerRowDxfId="45" dataDxfId="44">
  <autoFilter ref="A1:G61" xr:uid="{C7D4E18F-CDC0-8B4B-9107-DE80E01D3E0B}"/>
  <tableColumns count="7">
    <tableColumn id="1" xr3:uid="{BE527EC9-C017-234A-AB8C-E48DA31BC3A9}" name="Date" dataDxfId="43"/>
    <tableColumn id="2" xr3:uid="{277875E0-2492-0A4B-ADF8-BF8EF0C417B9}" name="Open" dataDxfId="42"/>
    <tableColumn id="3" xr3:uid="{F1645680-AAF8-C746-85EE-66A4C5E083C2}" name="High" dataDxfId="41"/>
    <tableColumn id="4" xr3:uid="{1AC81874-BD9B-454C-B581-E7F4DE70B6DA}" name="Low" dataDxfId="40"/>
    <tableColumn id="5" xr3:uid="{529E6C87-CC25-8645-9EF8-4992F82BD525}" name="Close" dataDxfId="39"/>
    <tableColumn id="6" xr3:uid="{CA966188-C351-C24B-8E72-D82C47C65694}" name="Adj Close" dataDxfId="38"/>
    <tableColumn id="7" xr3:uid="{66F778E5-DAEC-EF47-B529-317A5E71F9F3}" name="Volume" dataDxfId="37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2" totalsRowShown="0" headerRowDxfId="36">
  <autoFilter ref="A1:E72" xr:uid="{00000000-0009-0000-0100-000001000000}"/>
  <tableColumns count="5">
    <tableColumn id="1" xr3:uid="{00000000-0010-0000-0000-000001000000}" name="Column1" dataDxfId="35"/>
    <tableColumn id="2" xr3:uid="{00000000-0010-0000-0000-000002000000}" name="Column2" dataDxfId="34"/>
    <tableColumn id="3" xr3:uid="{00000000-0010-0000-0000-000003000000}" name="Column3" dataDxfId="33"/>
    <tableColumn id="4" xr3:uid="{00000000-0010-0000-0000-000004000000}" name="Column4" dataDxfId="32"/>
    <tableColumn id="5" xr3:uid="{00000000-0010-0000-0000-000005000000}" name="Column5" dataDxfId="3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K61" totalsRowShown="0" headerRowDxfId="30" dataDxfId="29">
  <autoFilter ref="A1:K61" xr:uid="{00000000-0009-0000-0100-000002000000}"/>
  <tableColumns count="11">
    <tableColumn id="1" xr3:uid="{00000000-0010-0000-0100-000001000000}" name="DATE" dataDxfId="28"/>
    <tableColumn id="2" xr3:uid="{00000000-0010-0000-0100-000002000000}" name="WBC Price" dataDxfId="27"/>
    <tableColumn id="3" xr3:uid="{00000000-0010-0000-0100-000003000000}" name="WBC Return" dataDxfId="26">
      <calculatedColumnFormula>LN(B2/B1)</calculatedColumnFormula>
    </tableColumn>
    <tableColumn id="4" xr3:uid="{00000000-0010-0000-0100-000004000000}" name="ANZ Price" dataDxfId="25"/>
    <tableColumn id="5" xr3:uid="{00000000-0010-0000-0100-000005000000}" name="ANZ Return " dataDxfId="24">
      <calculatedColumnFormula>LN(D2/D1)</calculatedColumnFormula>
    </tableColumn>
    <tableColumn id="6" xr3:uid="{00000000-0010-0000-0100-000006000000}" name="NAB Price" dataDxfId="23"/>
    <tableColumn id="7" xr3:uid="{00000000-0010-0000-0100-000007000000}" name="NAB Return" dataDxfId="22">
      <calculatedColumnFormula>LN(F2/F1)</calculatedColumnFormula>
    </tableColumn>
    <tableColumn id="8" xr3:uid="{00000000-0010-0000-0100-000008000000}" name="MQG Price" dataDxfId="21"/>
    <tableColumn id="9" xr3:uid="{00000000-0010-0000-0100-000009000000}" name="MQG Return " dataDxfId="20">
      <calculatedColumnFormula>LN(H2/H1)</calculatedColumnFormula>
    </tableColumn>
    <tableColumn id="10" xr3:uid="{00000000-0010-0000-0100-00000A000000}" name="BEN Price " dataDxfId="19"/>
    <tableColumn id="11" xr3:uid="{00000000-0010-0000-0100-00000B000000}" name="BEN return " dataDxfId="18">
      <calculatedColumnFormula>LN(J2/J1)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5" displayName="Table35" ref="A1:E10" totalsRowShown="0" headerRowDxfId="17" dataDxfId="16">
  <autoFilter ref="A1:E10" xr:uid="{00000000-0009-0000-0100-000004000000}"/>
  <tableColumns count="5">
    <tableColumn id="1" xr3:uid="{00000000-0010-0000-0300-000001000000}" name="COMPANY" dataDxfId="15"/>
    <tableColumn id="2" xr3:uid="{00000000-0010-0000-0300-000002000000}" name="LEVERED BETA" dataDxfId="14"/>
    <tableColumn id="3" xr3:uid="{00000000-0010-0000-0300-000003000000}" name="D/E" dataDxfId="13"/>
    <tableColumn id="4" xr3:uid="{00000000-0010-0000-0300-000004000000}" name="TAX RATE" dataDxfId="12"/>
    <tableColumn id="5" xr3:uid="{00000000-0010-0000-0300-000005000000}" name="UNLEVERED BETA" dataDxfId="1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B7" totalsRowShown="0">
  <autoFilter ref="A1:B7" xr:uid="{00000000-0009-0000-0100-000005000000}"/>
  <tableColumns count="2">
    <tableColumn id="1" xr3:uid="{00000000-0010-0000-0400-000001000000}" name="RISK-FREE RATE" dataDxfId="10"/>
    <tableColumn id="2" xr3:uid="{00000000-0010-0000-0400-000002000000}" name="0.05036" dataDxfId="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5:C20" totalsRowShown="0" headerRowDxfId="8">
  <autoFilter ref="A15:C20" xr:uid="{00000000-0009-0000-0100-000006000000}"/>
  <tableColumns count="3">
    <tableColumn id="1" xr3:uid="{00000000-0010-0000-0500-000001000000}" name="YEAR" dataDxfId="7"/>
    <tableColumn id="2" xr3:uid="{00000000-0010-0000-0500-000002000000}" name="Dividend ($)" dataDxfId="6"/>
    <tableColumn id="3" xr3:uid="{00000000-0010-0000-0500-000003000000}" name="PV of Dividend" dataDxfId="5"/>
  </tableColumns>
  <tableStyleInfo name="TableStyleMedium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8" displayName="Table8" ref="H15:J20" totalsRowShown="0" headerRowDxfId="4" dataDxfId="3">
  <autoFilter ref="H15:J20" xr:uid="{00000000-0009-0000-0100-000007000000}"/>
  <tableColumns count="3">
    <tableColumn id="1" xr3:uid="{00000000-0010-0000-0600-000001000000}" name="YEAR" dataDxfId="2"/>
    <tableColumn id="2" xr3:uid="{00000000-0010-0000-0600-000002000000}" name="Dividend($)" dataDxfId="1"/>
    <tableColumn id="3" xr3:uid="{00000000-0010-0000-0600-000003000000}" name="PV of Dividend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8A67-2A65-F242-A902-3E26F7761ACF}">
  <sheetPr>
    <tabColor theme="3"/>
  </sheetPr>
  <dimension ref="B1:P48"/>
  <sheetViews>
    <sheetView tabSelected="1" workbookViewId="0">
      <selection activeCell="J50" sqref="J50"/>
    </sheetView>
  </sheetViews>
  <sheetFormatPr baseColWidth="10" defaultRowHeight="16"/>
  <cols>
    <col min="2" max="2" width="20.1640625" customWidth="1"/>
    <col min="3" max="3" width="31.1640625" bestFit="1" customWidth="1"/>
    <col min="4" max="4" width="13" customWidth="1"/>
    <col min="6" max="6" width="17.6640625" customWidth="1"/>
  </cols>
  <sheetData>
    <row r="1" spans="2:6">
      <c r="B1" s="93" t="s">
        <v>202</v>
      </c>
    </row>
    <row r="2" spans="2:6">
      <c r="B2" s="2" t="s">
        <v>192</v>
      </c>
      <c r="C2" s="90" t="s">
        <v>200</v>
      </c>
    </row>
    <row r="3" spans="2:6">
      <c r="B3" s="2" t="s">
        <v>196</v>
      </c>
      <c r="C3" t="s">
        <v>199</v>
      </c>
    </row>
    <row r="4" spans="2:6">
      <c r="B4" s="2" t="s">
        <v>197</v>
      </c>
      <c r="C4" s="90">
        <v>0.06</v>
      </c>
    </row>
    <row r="5" spans="2:6">
      <c r="B5" s="2" t="s">
        <v>193</v>
      </c>
      <c r="C5">
        <v>1.2383999999999999</v>
      </c>
    </row>
    <row r="6" spans="2:6">
      <c r="B6" s="2" t="s">
        <v>194</v>
      </c>
      <c r="C6" t="s">
        <v>195</v>
      </c>
    </row>
    <row r="7" spans="2:6">
      <c r="B7" s="2" t="s">
        <v>98</v>
      </c>
      <c r="C7">
        <v>2.88</v>
      </c>
    </row>
    <row r="8" spans="2:6">
      <c r="B8" s="2" t="s">
        <v>99</v>
      </c>
      <c r="C8" s="91">
        <v>0.3</v>
      </c>
    </row>
    <row r="9" spans="2:6">
      <c r="B9" s="2" t="s">
        <v>198</v>
      </c>
      <c r="C9">
        <v>0.41599999999999998</v>
      </c>
    </row>
    <row r="12" spans="2:6">
      <c r="B12" s="93" t="s">
        <v>201</v>
      </c>
    </row>
    <row r="13" spans="2:6">
      <c r="B13" t="s">
        <v>141</v>
      </c>
      <c r="C13" t="s">
        <v>126</v>
      </c>
      <c r="D13" t="s">
        <v>142</v>
      </c>
      <c r="E13" t="s">
        <v>143</v>
      </c>
      <c r="F13" t="s">
        <v>144</v>
      </c>
    </row>
    <row r="14" spans="2:6">
      <c r="B14" t="s">
        <v>145</v>
      </c>
      <c r="C14">
        <v>1.1302012079727075</v>
      </c>
      <c r="D14">
        <v>2.91</v>
      </c>
      <c r="E14">
        <v>0.3</v>
      </c>
      <c r="F14">
        <v>0.37214396047833637</v>
      </c>
    </row>
    <row r="16" spans="2:6">
      <c r="B16" t="s">
        <v>146</v>
      </c>
      <c r="C16">
        <v>0.94592552228170657</v>
      </c>
      <c r="D16">
        <v>3.09</v>
      </c>
      <c r="E16">
        <v>0.3</v>
      </c>
      <c r="F16">
        <v>0.29905960236538304</v>
      </c>
    </row>
    <row r="18" spans="2:16">
      <c r="B18" t="s">
        <v>147</v>
      </c>
      <c r="C18">
        <v>1.329253687683273</v>
      </c>
      <c r="D18">
        <v>4.82</v>
      </c>
      <c r="E18">
        <v>0.3</v>
      </c>
      <c r="F18">
        <v>0.3038988769280459</v>
      </c>
    </row>
    <row r="20" spans="2:16">
      <c r="B20" t="s">
        <v>148</v>
      </c>
      <c r="C20">
        <v>1.4516578388814976</v>
      </c>
      <c r="D20">
        <v>4.88</v>
      </c>
      <c r="E20">
        <v>0.3</v>
      </c>
      <c r="F20">
        <v>0.32872686568874487</v>
      </c>
    </row>
    <row r="21" spans="2:16" ht="18">
      <c r="P21" s="96"/>
    </row>
    <row r="22" spans="2:16">
      <c r="B22" t="s">
        <v>149</v>
      </c>
      <c r="C22">
        <v>1.3885923830730444</v>
      </c>
      <c r="D22">
        <v>1.43</v>
      </c>
      <c r="E22">
        <v>0.3</v>
      </c>
      <c r="F22">
        <v>0.69394921692805822</v>
      </c>
    </row>
    <row r="24" spans="2:16">
      <c r="B24" t="s">
        <v>150</v>
      </c>
      <c r="F24">
        <v>0.39955570447771366</v>
      </c>
    </row>
    <row r="26" spans="2:16">
      <c r="B26" s="93" t="s">
        <v>203</v>
      </c>
    </row>
    <row r="27" spans="2:16">
      <c r="B27" s="95" t="s">
        <v>206</v>
      </c>
      <c r="C27" s="90" t="s">
        <v>207</v>
      </c>
    </row>
    <row r="28" spans="2:16">
      <c r="B28" s="2" t="s">
        <v>161</v>
      </c>
      <c r="C28" s="92">
        <v>7.1900000000000006E-2</v>
      </c>
    </row>
    <row r="29" spans="2:16">
      <c r="B29" s="2" t="s">
        <v>162</v>
      </c>
      <c r="C29" s="92">
        <v>2.2249999999999999E-2</v>
      </c>
    </row>
    <row r="30" spans="2:16">
      <c r="B30" s="2" t="s">
        <v>163</v>
      </c>
      <c r="C30" s="94">
        <v>4.95</v>
      </c>
    </row>
    <row r="31" spans="2:16">
      <c r="B31" s="2" t="s">
        <v>204</v>
      </c>
      <c r="C31" s="90">
        <v>0.12470000000000001</v>
      </c>
    </row>
    <row r="32" spans="2:16">
      <c r="B32" s="2" t="s">
        <v>205</v>
      </c>
      <c r="C32" s="90">
        <v>0.1227</v>
      </c>
    </row>
    <row r="33" spans="2:4">
      <c r="B33" s="99"/>
      <c r="C33" s="100"/>
    </row>
    <row r="34" spans="2:4">
      <c r="B34" s="101" t="s">
        <v>216</v>
      </c>
      <c r="C34" s="98"/>
    </row>
    <row r="35" spans="2:4">
      <c r="B35" s="2" t="s">
        <v>215</v>
      </c>
      <c r="C35" s="2" t="s">
        <v>211</v>
      </c>
      <c r="D35" s="2" t="s">
        <v>212</v>
      </c>
    </row>
    <row r="36" spans="2:4">
      <c r="B36" s="2" t="s">
        <v>208</v>
      </c>
      <c r="C36" s="97">
        <v>21.48</v>
      </c>
      <c r="D36" s="97">
        <v>21.59</v>
      </c>
    </row>
    <row r="37" spans="2:4">
      <c r="B37" s="2" t="s">
        <v>209</v>
      </c>
      <c r="C37" s="97">
        <v>69.91</v>
      </c>
      <c r="D37" s="97">
        <v>71.3</v>
      </c>
    </row>
    <row r="38" spans="2:4">
      <c r="B38" s="2" t="s">
        <v>175</v>
      </c>
      <c r="C38" s="97">
        <v>38.85</v>
      </c>
      <c r="D38" s="97">
        <v>39.979999999999997</v>
      </c>
    </row>
    <row r="39" spans="2:4">
      <c r="B39" s="2" t="s">
        <v>213</v>
      </c>
      <c r="C39" s="97">
        <v>60.33</v>
      </c>
      <c r="D39" s="97">
        <v>61.57</v>
      </c>
    </row>
    <row r="40" spans="2:4">
      <c r="B40" s="2" t="s">
        <v>210</v>
      </c>
      <c r="C40" s="97">
        <v>174.49</v>
      </c>
      <c r="D40" s="97">
        <v>174.49</v>
      </c>
    </row>
    <row r="41" spans="2:4">
      <c r="B41" s="2" t="s">
        <v>214</v>
      </c>
      <c r="C41" s="90">
        <v>-0.65429999999999999</v>
      </c>
      <c r="D41" s="90">
        <v>-0.6472</v>
      </c>
    </row>
    <row r="44" spans="2:4">
      <c r="B44" s="93" t="s">
        <v>217</v>
      </c>
    </row>
    <row r="45" spans="2:4">
      <c r="B45" s="2" t="s">
        <v>218</v>
      </c>
      <c r="C45" t="s">
        <v>221</v>
      </c>
    </row>
    <row r="46" spans="2:4">
      <c r="B46" s="2" t="s">
        <v>210</v>
      </c>
      <c r="C46" s="97">
        <v>174.49</v>
      </c>
      <c r="D46" t="s">
        <v>224</v>
      </c>
    </row>
    <row r="47" spans="2:4">
      <c r="B47" s="2" t="s">
        <v>219</v>
      </c>
      <c r="C47" t="s">
        <v>222</v>
      </c>
    </row>
    <row r="48" spans="2:4">
      <c r="B48" s="2" t="s">
        <v>220</v>
      </c>
      <c r="C48" t="s">
        <v>223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L62"/>
  <sheetViews>
    <sheetView zoomScale="81" workbookViewId="0"/>
  </sheetViews>
  <sheetFormatPr baseColWidth="10" defaultRowHeight="16"/>
  <cols>
    <col min="1" max="1" width="16.33203125" bestFit="1" customWidth="1"/>
    <col min="2" max="5" width="14.1640625" style="1" bestFit="1" customWidth="1"/>
    <col min="6" max="6" width="17.33203125" style="1" customWidth="1"/>
    <col min="7" max="7" width="24.5" style="1" bestFit="1" customWidth="1"/>
    <col min="12" max="12" width="62.6640625" bestFit="1" customWidth="1"/>
  </cols>
  <sheetData>
    <row r="1" spans="1:12" ht="24" customHeight="1">
      <c r="A1" s="36" t="s">
        <v>8</v>
      </c>
      <c r="B1" s="37" t="s">
        <v>9</v>
      </c>
      <c r="C1" s="37" t="s">
        <v>10</v>
      </c>
      <c r="D1" s="37" t="s">
        <v>11</v>
      </c>
      <c r="E1" s="37" t="s">
        <v>12</v>
      </c>
      <c r="F1" s="37" t="s">
        <v>13</v>
      </c>
      <c r="G1" s="37" t="s">
        <v>14</v>
      </c>
      <c r="H1" s="6"/>
      <c r="I1" s="6"/>
    </row>
    <row r="2" spans="1:12" ht="24" customHeight="1">
      <c r="A2" s="38" t="s">
        <v>15</v>
      </c>
      <c r="B2" s="39">
        <v>174</v>
      </c>
      <c r="C2" s="39">
        <v>174.77</v>
      </c>
      <c r="D2" s="39">
        <v>171.43</v>
      </c>
      <c r="E2" s="39">
        <v>174.49</v>
      </c>
      <c r="F2" s="39">
        <v>174.49</v>
      </c>
      <c r="G2" s="39">
        <v>1680535</v>
      </c>
      <c r="H2" s="7"/>
      <c r="I2" s="6"/>
    </row>
    <row r="3" spans="1:12" ht="24" customHeight="1">
      <c r="A3" s="38" t="s">
        <v>16</v>
      </c>
      <c r="B3" s="39">
        <v>168.94</v>
      </c>
      <c r="C3" s="39">
        <v>185.59</v>
      </c>
      <c r="D3" s="39">
        <v>168.12</v>
      </c>
      <c r="E3" s="39">
        <v>174.49</v>
      </c>
      <c r="F3" s="39">
        <v>174.49</v>
      </c>
      <c r="G3" s="39">
        <v>29878847</v>
      </c>
      <c r="H3" s="7"/>
      <c r="I3" s="6"/>
    </row>
    <row r="4" spans="1:12" ht="24" customHeight="1">
      <c r="A4" s="38" t="s">
        <v>17</v>
      </c>
      <c r="B4" s="39">
        <v>173.5</v>
      </c>
      <c r="C4" s="39">
        <v>179.56</v>
      </c>
      <c r="D4" s="39">
        <v>165.09</v>
      </c>
      <c r="E4" s="39">
        <v>167.7</v>
      </c>
      <c r="F4" s="39">
        <v>167.7</v>
      </c>
      <c r="G4" s="39">
        <v>47037312</v>
      </c>
      <c r="H4" s="7"/>
      <c r="I4" s="6"/>
    </row>
    <row r="5" spans="1:12" ht="24" customHeight="1">
      <c r="A5" s="38" t="s">
        <v>18</v>
      </c>
      <c r="B5" s="39">
        <v>152.66999999999999</v>
      </c>
      <c r="C5" s="39">
        <v>180.6</v>
      </c>
      <c r="D5" s="39">
        <v>149.81</v>
      </c>
      <c r="E5" s="39">
        <v>174.62</v>
      </c>
      <c r="F5" s="39">
        <v>172.32</v>
      </c>
      <c r="G5" s="39">
        <v>50907149</v>
      </c>
      <c r="H5" s="7"/>
      <c r="I5" s="6"/>
    </row>
    <row r="6" spans="1:12" ht="24" customHeight="1">
      <c r="A6" s="38" t="s">
        <v>19</v>
      </c>
      <c r="B6" s="39">
        <v>160.57</v>
      </c>
      <c r="C6" s="39">
        <v>161.66999999999999</v>
      </c>
      <c r="D6" s="39">
        <v>146.97999999999999</v>
      </c>
      <c r="E6" s="39">
        <v>149.36000000000001</v>
      </c>
      <c r="F6" s="39">
        <v>147.38999999999999</v>
      </c>
      <c r="G6" s="39">
        <v>30942306</v>
      </c>
      <c r="H6" s="7"/>
      <c r="I6" s="6"/>
    </row>
    <row r="7" spans="1:12" ht="24" customHeight="1">
      <c r="A7" s="38" t="s">
        <v>20</v>
      </c>
      <c r="B7" s="39">
        <v>152.19999999999999</v>
      </c>
      <c r="C7" s="39">
        <v>163.1</v>
      </c>
      <c r="D7" s="39">
        <v>150.38</v>
      </c>
      <c r="E7" s="39">
        <v>160.57</v>
      </c>
      <c r="F7" s="39">
        <v>158.44999999999999</v>
      </c>
      <c r="G7" s="39">
        <v>35224722</v>
      </c>
      <c r="H7" s="7"/>
      <c r="I7" s="6"/>
    </row>
    <row r="8" spans="1:12" ht="24" customHeight="1">
      <c r="A8" s="38" t="s">
        <v>21</v>
      </c>
      <c r="B8" s="39">
        <v>170.95</v>
      </c>
      <c r="C8" s="39">
        <v>179.15</v>
      </c>
      <c r="D8" s="39">
        <v>150.47999999999999</v>
      </c>
      <c r="E8" s="39">
        <v>152.51</v>
      </c>
      <c r="F8" s="39">
        <v>150.5</v>
      </c>
      <c r="G8" s="39">
        <v>49133824</v>
      </c>
      <c r="H8" s="7"/>
      <c r="I8" s="6"/>
    </row>
    <row r="9" spans="1:12" ht="24" customHeight="1">
      <c r="A9" s="38" t="s">
        <v>22</v>
      </c>
      <c r="B9" s="39">
        <v>166.52</v>
      </c>
      <c r="C9" s="39">
        <v>175.86</v>
      </c>
      <c r="D9" s="39">
        <v>161.82</v>
      </c>
      <c r="E9" s="39">
        <v>171.64</v>
      </c>
      <c r="F9" s="39">
        <v>169.37</v>
      </c>
      <c r="G9" s="39">
        <v>38348213</v>
      </c>
      <c r="H9" s="7"/>
      <c r="I9" s="6"/>
    </row>
    <row r="10" spans="1:12" ht="24" customHeight="1">
      <c r="A10" s="38" t="s">
        <v>23</v>
      </c>
      <c r="B10" s="39">
        <v>170.58</v>
      </c>
      <c r="C10" s="39">
        <v>171.7</v>
      </c>
      <c r="D10" s="39">
        <v>162.54</v>
      </c>
      <c r="E10" s="39">
        <v>166.9</v>
      </c>
      <c r="F10" s="39">
        <v>164.7</v>
      </c>
      <c r="G10" s="39">
        <v>38572991</v>
      </c>
      <c r="H10" s="7"/>
      <c r="I10" s="6"/>
    </row>
    <row r="11" spans="1:12" ht="32" customHeight="1">
      <c r="A11" s="38" t="s">
        <v>24</v>
      </c>
      <c r="B11" s="39">
        <v>176</v>
      </c>
      <c r="C11" s="39">
        <v>180</v>
      </c>
      <c r="D11" s="39">
        <v>165.24</v>
      </c>
      <c r="E11" s="39">
        <v>170.3</v>
      </c>
      <c r="F11" s="39">
        <v>165.5</v>
      </c>
      <c r="G11" s="39">
        <v>43334823</v>
      </c>
      <c r="H11" s="7"/>
      <c r="I11" s="6"/>
      <c r="L11" s="4" t="s">
        <v>25</v>
      </c>
    </row>
    <row r="12" spans="1:12" ht="24" customHeight="1">
      <c r="A12" s="38" t="s">
        <v>26</v>
      </c>
      <c r="B12" s="39">
        <v>184.21</v>
      </c>
      <c r="C12" s="39">
        <v>184.31</v>
      </c>
      <c r="D12" s="39">
        <v>170.67</v>
      </c>
      <c r="E12" s="39">
        <v>177.91</v>
      </c>
      <c r="F12" s="39">
        <v>172.89</v>
      </c>
      <c r="G12" s="39">
        <v>43290191</v>
      </c>
      <c r="H12" s="7"/>
      <c r="I12" s="6"/>
    </row>
    <row r="13" spans="1:12" ht="24" customHeight="1">
      <c r="A13" s="38" t="s">
        <v>27</v>
      </c>
      <c r="B13" s="39">
        <v>175.9</v>
      </c>
      <c r="C13" s="39">
        <v>192</v>
      </c>
      <c r="D13" s="39">
        <v>175.2</v>
      </c>
      <c r="E13" s="39">
        <v>184.75</v>
      </c>
      <c r="F13" s="39">
        <v>179.54</v>
      </c>
      <c r="G13" s="39">
        <v>41684888</v>
      </c>
      <c r="H13" s="7"/>
      <c r="I13" s="6"/>
    </row>
    <row r="14" spans="1:12" ht="24" customHeight="1">
      <c r="A14" s="38" t="s">
        <v>28</v>
      </c>
      <c r="B14" s="39">
        <v>166.57</v>
      </c>
      <c r="C14" s="39">
        <v>176.64</v>
      </c>
      <c r="D14" s="39">
        <v>164.1</v>
      </c>
      <c r="E14" s="39">
        <v>175.95</v>
      </c>
      <c r="F14" s="39">
        <v>170.99</v>
      </c>
      <c r="G14" s="39">
        <v>45119064</v>
      </c>
      <c r="H14" s="7"/>
      <c r="I14" s="6"/>
    </row>
    <row r="15" spans="1:12" ht="24" customHeight="1">
      <c r="A15" s="38" t="s">
        <v>29</v>
      </c>
      <c r="B15" s="39">
        <v>151.01</v>
      </c>
      <c r="C15" s="39">
        <v>168.7</v>
      </c>
      <c r="D15" s="39">
        <v>140.21</v>
      </c>
      <c r="E15" s="39">
        <v>166.6</v>
      </c>
      <c r="F15" s="39">
        <v>161.9</v>
      </c>
      <c r="G15" s="39">
        <v>53648758</v>
      </c>
      <c r="H15" s="7"/>
      <c r="I15" s="6"/>
    </row>
    <row r="16" spans="1:12" ht="24" customHeight="1">
      <c r="A16" s="38" t="s">
        <v>30</v>
      </c>
      <c r="B16" s="39">
        <v>158.4</v>
      </c>
      <c r="C16" s="39">
        <v>158.4</v>
      </c>
      <c r="D16" s="39">
        <v>141.41</v>
      </c>
      <c r="E16" s="39">
        <v>150.93</v>
      </c>
      <c r="F16" s="39">
        <v>146.66999999999999</v>
      </c>
      <c r="G16" s="39">
        <v>48323852</v>
      </c>
      <c r="H16" s="7"/>
      <c r="I16" s="6"/>
    </row>
    <row r="17" spans="1:9" ht="24" customHeight="1">
      <c r="A17" s="38" t="s">
        <v>31</v>
      </c>
      <c r="B17" s="39">
        <v>156.5</v>
      </c>
      <c r="C17" s="39">
        <v>167.92</v>
      </c>
      <c r="D17" s="39">
        <v>148.97999999999999</v>
      </c>
      <c r="E17" s="39">
        <v>156.74</v>
      </c>
      <c r="F17" s="39">
        <v>150.21</v>
      </c>
      <c r="G17" s="39">
        <v>44666898</v>
      </c>
      <c r="H17" s="6"/>
      <c r="I17" s="6"/>
    </row>
    <row r="18" spans="1:9" ht="24" customHeight="1">
      <c r="A18" s="38" t="s">
        <v>32</v>
      </c>
      <c r="B18" s="39">
        <v>153.25</v>
      </c>
      <c r="C18" s="39">
        <v>161.69999999999999</v>
      </c>
      <c r="D18" s="39">
        <v>151</v>
      </c>
      <c r="E18" s="39">
        <v>160.56</v>
      </c>
      <c r="F18" s="39">
        <v>153.87</v>
      </c>
      <c r="G18" s="39">
        <v>32999064</v>
      </c>
      <c r="H18" s="6"/>
      <c r="I18" s="6"/>
    </row>
    <row r="19" spans="1:9" ht="24" customHeight="1">
      <c r="A19" s="38" t="s">
        <v>33</v>
      </c>
      <c r="B19" s="39">
        <v>159.5</v>
      </c>
      <c r="C19" s="39">
        <v>161.37</v>
      </c>
      <c r="D19" s="39">
        <v>150.26</v>
      </c>
      <c r="E19" s="39">
        <v>153.25</v>
      </c>
      <c r="F19" s="39">
        <v>146.87</v>
      </c>
      <c r="G19" s="39">
        <v>36875992</v>
      </c>
      <c r="H19" s="6"/>
      <c r="I19" s="6"/>
    </row>
    <row r="20" spans="1:9" ht="24" customHeight="1">
      <c r="A20" s="38" t="s">
        <v>34</v>
      </c>
      <c r="B20" s="39">
        <v>141.65</v>
      </c>
      <c r="C20" s="39">
        <v>160.27000000000001</v>
      </c>
      <c r="D20" s="39">
        <v>140.4</v>
      </c>
      <c r="E20" s="39">
        <v>158.58000000000001</v>
      </c>
      <c r="F20" s="39">
        <v>151.97999999999999</v>
      </c>
      <c r="G20" s="39">
        <v>42309266</v>
      </c>
      <c r="H20" s="6"/>
      <c r="I20" s="6"/>
    </row>
    <row r="21" spans="1:9" ht="24" customHeight="1">
      <c r="A21" s="38" t="s">
        <v>35</v>
      </c>
      <c r="B21" s="39">
        <v>135</v>
      </c>
      <c r="C21" s="39">
        <v>144.47999999999999</v>
      </c>
      <c r="D21" s="39">
        <v>132.1</v>
      </c>
      <c r="E21" s="39">
        <v>142.75</v>
      </c>
      <c r="F21" s="39">
        <v>136.80000000000001</v>
      </c>
      <c r="G21" s="39">
        <v>38198442</v>
      </c>
      <c r="H21" s="6"/>
      <c r="I21" s="6"/>
    </row>
    <row r="22" spans="1:9" ht="24" customHeight="1">
      <c r="A22" s="38" t="s">
        <v>36</v>
      </c>
      <c r="B22" s="39">
        <v>139.35</v>
      </c>
      <c r="C22" s="39">
        <v>145.24</v>
      </c>
      <c r="D22" s="39">
        <v>133</v>
      </c>
      <c r="E22" s="39">
        <v>135.38999999999999</v>
      </c>
      <c r="F22" s="39">
        <v>129.75</v>
      </c>
      <c r="G22" s="39">
        <v>52394635</v>
      </c>
      <c r="H22" s="6"/>
      <c r="I22" s="6"/>
    </row>
    <row r="23" spans="1:9" ht="24" customHeight="1">
      <c r="A23" s="38" t="s">
        <v>37</v>
      </c>
      <c r="B23" s="39">
        <v>138.21</v>
      </c>
      <c r="C23" s="39">
        <v>141.34</v>
      </c>
      <c r="D23" s="39">
        <v>124.89</v>
      </c>
      <c r="E23" s="39">
        <v>139.5</v>
      </c>
      <c r="F23" s="39">
        <v>131.30000000000001</v>
      </c>
      <c r="G23" s="39">
        <v>51323051</v>
      </c>
      <c r="H23" s="6"/>
      <c r="I23" s="6"/>
    </row>
    <row r="24" spans="1:9" ht="24" customHeight="1">
      <c r="A24" s="38" t="s">
        <v>38</v>
      </c>
      <c r="B24" s="39">
        <v>126.44</v>
      </c>
      <c r="C24" s="39">
        <v>137.53</v>
      </c>
      <c r="D24" s="39">
        <v>124.8</v>
      </c>
      <c r="E24" s="39">
        <v>137.49</v>
      </c>
      <c r="F24" s="39">
        <v>129.4</v>
      </c>
      <c r="G24" s="39">
        <v>38620688</v>
      </c>
      <c r="H24" s="6"/>
      <c r="I24" s="6"/>
    </row>
    <row r="25" spans="1:9" ht="24" customHeight="1">
      <c r="A25" s="38" t="s">
        <v>39</v>
      </c>
      <c r="B25" s="39">
        <v>120.34</v>
      </c>
      <c r="C25" s="39">
        <v>128.68</v>
      </c>
      <c r="D25" s="39">
        <v>120.22</v>
      </c>
      <c r="E25" s="39">
        <v>127.38</v>
      </c>
      <c r="F25" s="39">
        <v>119.89</v>
      </c>
      <c r="G25" s="39">
        <v>45309278</v>
      </c>
      <c r="H25" s="6"/>
      <c r="I25" s="6"/>
    </row>
    <row r="26" spans="1:9" ht="24" customHeight="1">
      <c r="A26" s="38" t="s">
        <v>40</v>
      </c>
      <c r="B26" s="39">
        <v>113.6</v>
      </c>
      <c r="C26" s="39">
        <v>122.55</v>
      </c>
      <c r="D26" s="39">
        <v>113</v>
      </c>
      <c r="E26" s="39">
        <v>119.54</v>
      </c>
      <c r="F26" s="39">
        <v>112.51</v>
      </c>
      <c r="G26" s="39">
        <v>42346916</v>
      </c>
      <c r="H26" s="6"/>
      <c r="I26" s="6"/>
    </row>
    <row r="27" spans="1:9" ht="24" customHeight="1">
      <c r="A27" s="38" t="s">
        <v>41</v>
      </c>
      <c r="B27" s="39">
        <v>120.34</v>
      </c>
      <c r="C27" s="39">
        <v>120.6</v>
      </c>
      <c r="D27" s="39">
        <v>109.94</v>
      </c>
      <c r="E27" s="39">
        <v>114.54</v>
      </c>
      <c r="F27" s="39">
        <v>107.8</v>
      </c>
      <c r="G27" s="39">
        <v>35010102</v>
      </c>
      <c r="H27" s="6"/>
      <c r="I27" s="6"/>
    </row>
    <row r="28" spans="1:9" ht="24" customHeight="1">
      <c r="A28" s="40" t="s">
        <v>42</v>
      </c>
      <c r="B28" s="39">
        <v>116.75</v>
      </c>
      <c r="C28" s="39">
        <v>121.54</v>
      </c>
      <c r="D28" s="39">
        <v>114</v>
      </c>
      <c r="E28" s="39">
        <v>120.34</v>
      </c>
      <c r="F28" s="39">
        <v>113.26</v>
      </c>
      <c r="G28" s="39">
        <v>46790834</v>
      </c>
      <c r="H28" s="6"/>
      <c r="I28" s="6"/>
    </row>
    <row r="29" spans="1:9" ht="24" customHeight="1">
      <c r="A29" s="38" t="s">
        <v>43</v>
      </c>
      <c r="B29" s="39">
        <v>116.65</v>
      </c>
      <c r="C29" s="39">
        <v>117.8</v>
      </c>
      <c r="D29" s="39">
        <v>111.56</v>
      </c>
      <c r="E29" s="39">
        <v>116.41</v>
      </c>
      <c r="F29" s="39">
        <v>107.55</v>
      </c>
      <c r="G29" s="39">
        <v>44308731</v>
      </c>
      <c r="H29" s="6"/>
      <c r="I29" s="6"/>
    </row>
    <row r="30" spans="1:9" ht="24" customHeight="1">
      <c r="A30" s="38" t="s">
        <v>44</v>
      </c>
      <c r="B30" s="39">
        <v>111.8</v>
      </c>
      <c r="C30" s="39">
        <v>118.24</v>
      </c>
      <c r="D30" s="39">
        <v>110.94</v>
      </c>
      <c r="E30" s="39">
        <v>117.53</v>
      </c>
      <c r="F30" s="39">
        <v>108.58</v>
      </c>
      <c r="G30" s="39">
        <v>40466421</v>
      </c>
      <c r="H30" s="6"/>
      <c r="I30" s="6"/>
    </row>
    <row r="31" spans="1:9" ht="24" customHeight="1">
      <c r="A31" s="38" t="s">
        <v>45</v>
      </c>
      <c r="B31" s="39">
        <v>104.65</v>
      </c>
      <c r="C31" s="39">
        <v>112.37</v>
      </c>
      <c r="D31" s="39">
        <v>103.75</v>
      </c>
      <c r="E31" s="39">
        <v>111.8</v>
      </c>
      <c r="F31" s="39">
        <v>103.29</v>
      </c>
      <c r="G31" s="39">
        <v>42128255</v>
      </c>
      <c r="H31" s="6"/>
      <c r="I31" s="6"/>
    </row>
    <row r="32" spans="1:9" ht="24" customHeight="1">
      <c r="A32" s="38" t="s">
        <v>46</v>
      </c>
      <c r="B32" s="39">
        <v>96.9</v>
      </c>
      <c r="C32" s="39">
        <v>104.66</v>
      </c>
      <c r="D32" s="39">
        <v>96.3</v>
      </c>
      <c r="E32" s="39">
        <v>104.66</v>
      </c>
      <c r="F32" s="39">
        <v>96.69</v>
      </c>
      <c r="G32" s="39">
        <v>46040999</v>
      </c>
      <c r="H32" s="6"/>
      <c r="I32" s="6"/>
    </row>
    <row r="33" spans="1:9" ht="24" customHeight="1">
      <c r="A33" s="38" t="s">
        <v>47</v>
      </c>
      <c r="B33" s="39">
        <v>99.36</v>
      </c>
      <c r="C33" s="39">
        <v>102.22</v>
      </c>
      <c r="D33" s="39">
        <v>96.15</v>
      </c>
      <c r="E33" s="39">
        <v>96.56</v>
      </c>
      <c r="F33" s="39">
        <v>89.21</v>
      </c>
      <c r="G33" s="39">
        <v>42511735</v>
      </c>
      <c r="H33" s="6"/>
      <c r="I33" s="6"/>
    </row>
    <row r="34" spans="1:9" ht="24" customHeight="1">
      <c r="A34" s="38" t="s">
        <v>48</v>
      </c>
      <c r="B34" s="39">
        <v>101.7</v>
      </c>
      <c r="C34" s="39">
        <v>103.57</v>
      </c>
      <c r="D34" s="39">
        <v>98.1</v>
      </c>
      <c r="E34" s="39">
        <v>99.97</v>
      </c>
      <c r="F34" s="39">
        <v>92.36</v>
      </c>
      <c r="G34" s="39">
        <v>38581378</v>
      </c>
      <c r="H34" s="6"/>
      <c r="I34" s="6"/>
    </row>
    <row r="35" spans="1:9" ht="24" customHeight="1">
      <c r="A35" s="38" t="s">
        <v>49</v>
      </c>
      <c r="B35" s="39">
        <v>105.22</v>
      </c>
      <c r="C35" s="39">
        <v>106.2</v>
      </c>
      <c r="D35" s="39">
        <v>97.69</v>
      </c>
      <c r="E35" s="39">
        <v>102.18</v>
      </c>
      <c r="F35" s="39">
        <v>92.21</v>
      </c>
      <c r="G35" s="39">
        <v>58687021</v>
      </c>
      <c r="H35" s="6"/>
      <c r="I35" s="6"/>
    </row>
    <row r="36" spans="1:9" ht="24" customHeight="1">
      <c r="A36" s="38" t="s">
        <v>50</v>
      </c>
      <c r="B36" s="39">
        <v>100.3</v>
      </c>
      <c r="C36" s="39">
        <v>107.09</v>
      </c>
      <c r="D36" s="39">
        <v>98.32</v>
      </c>
      <c r="E36" s="39">
        <v>105.71</v>
      </c>
      <c r="F36" s="39">
        <v>95.4</v>
      </c>
      <c r="G36" s="39">
        <v>45136146</v>
      </c>
      <c r="H36" s="6"/>
      <c r="I36" s="6"/>
    </row>
    <row r="37" spans="1:9" ht="24" customHeight="1">
      <c r="A37" s="38" t="s">
        <v>51</v>
      </c>
      <c r="B37" s="39">
        <v>96.52</v>
      </c>
      <c r="C37" s="39">
        <v>102.49</v>
      </c>
      <c r="D37" s="39">
        <v>95.32</v>
      </c>
      <c r="E37" s="39">
        <v>100.27</v>
      </c>
      <c r="F37" s="39">
        <v>90.49</v>
      </c>
      <c r="G37" s="39">
        <v>53811983</v>
      </c>
      <c r="H37" s="6"/>
      <c r="I37" s="6"/>
    </row>
    <row r="38" spans="1:9" ht="24" customHeight="1">
      <c r="A38" s="40" t="s">
        <v>52</v>
      </c>
      <c r="B38" s="39">
        <v>99.96</v>
      </c>
      <c r="C38" s="39">
        <v>100.95</v>
      </c>
      <c r="D38" s="39">
        <v>94.37</v>
      </c>
      <c r="E38" s="39">
        <v>96.78</v>
      </c>
      <c r="F38" s="39">
        <v>87.34</v>
      </c>
      <c r="G38" s="39">
        <v>59548165</v>
      </c>
      <c r="H38" s="6"/>
      <c r="I38" s="6"/>
    </row>
    <row r="39" spans="1:9" ht="24" customHeight="1">
      <c r="A39" s="38" t="s">
        <v>53</v>
      </c>
      <c r="B39" s="39">
        <v>98.59</v>
      </c>
      <c r="C39" s="39">
        <v>101.31</v>
      </c>
      <c r="D39" s="39">
        <v>98.2</v>
      </c>
      <c r="E39" s="39">
        <v>99.36</v>
      </c>
      <c r="F39" s="39">
        <v>89.67</v>
      </c>
      <c r="G39" s="39">
        <v>31348037</v>
      </c>
      <c r="H39" s="6"/>
      <c r="I39" s="6"/>
    </row>
    <row r="40" spans="1:9" ht="24" customHeight="1">
      <c r="A40" s="38" t="s">
        <v>54</v>
      </c>
      <c r="B40" s="39">
        <v>99.95</v>
      </c>
      <c r="C40" s="39">
        <v>100.37</v>
      </c>
      <c r="D40" s="39">
        <v>93.05</v>
      </c>
      <c r="E40" s="39">
        <v>98.32</v>
      </c>
      <c r="F40" s="39">
        <v>88.73</v>
      </c>
      <c r="G40" s="39">
        <v>67393612</v>
      </c>
      <c r="H40" s="6"/>
      <c r="I40" s="6"/>
    </row>
    <row r="41" spans="1:9" ht="24" customHeight="1">
      <c r="A41" s="38" t="s">
        <v>55</v>
      </c>
      <c r="B41" s="39">
        <v>110.49</v>
      </c>
      <c r="C41" s="39">
        <v>111.43</v>
      </c>
      <c r="D41" s="39">
        <v>98.46</v>
      </c>
      <c r="E41" s="39">
        <v>100.69</v>
      </c>
      <c r="F41" s="39">
        <v>88.99</v>
      </c>
      <c r="G41" s="39">
        <v>51362543</v>
      </c>
      <c r="H41" s="6"/>
      <c r="I41" s="6"/>
    </row>
    <row r="42" spans="1:9" ht="24" customHeight="1">
      <c r="A42" s="38" t="s">
        <v>56</v>
      </c>
      <c r="B42" s="39">
        <v>102.6</v>
      </c>
      <c r="C42" s="39">
        <v>110.45</v>
      </c>
      <c r="D42" s="39">
        <v>100.21</v>
      </c>
      <c r="E42" s="39">
        <v>110.06</v>
      </c>
      <c r="F42" s="39">
        <v>97.27</v>
      </c>
      <c r="G42" s="39">
        <v>37526610</v>
      </c>
      <c r="H42" s="6"/>
      <c r="I42" s="6"/>
    </row>
    <row r="43" spans="1:9" ht="24" customHeight="1">
      <c r="A43" s="38" t="s">
        <v>57</v>
      </c>
      <c r="B43" s="39">
        <v>108.48</v>
      </c>
      <c r="C43" s="39">
        <v>108.99</v>
      </c>
      <c r="D43" s="39">
        <v>101.85</v>
      </c>
      <c r="E43" s="39">
        <v>102.6</v>
      </c>
      <c r="F43" s="39">
        <v>90.68</v>
      </c>
      <c r="G43" s="39">
        <v>41275373</v>
      </c>
      <c r="H43" s="6"/>
      <c r="I43" s="6"/>
    </row>
    <row r="44" spans="1:9" ht="24" customHeight="1">
      <c r="A44" s="38" t="s">
        <v>58</v>
      </c>
      <c r="B44" s="39">
        <v>104.75</v>
      </c>
      <c r="C44" s="39">
        <v>109.2</v>
      </c>
      <c r="D44" s="39">
        <v>102.5</v>
      </c>
      <c r="E44" s="39">
        <v>107.86</v>
      </c>
      <c r="F44" s="39">
        <v>95.33</v>
      </c>
      <c r="G44" s="39">
        <v>54083507</v>
      </c>
      <c r="H44" s="6"/>
      <c r="I44" s="6"/>
    </row>
    <row r="45" spans="1:9" ht="24" customHeight="1">
      <c r="A45" s="38" t="s">
        <v>59</v>
      </c>
      <c r="B45" s="39">
        <v>91.15</v>
      </c>
      <c r="C45" s="39">
        <v>105</v>
      </c>
      <c r="D45" s="39">
        <v>89.66</v>
      </c>
      <c r="E45" s="39">
        <v>104.68</v>
      </c>
      <c r="F45" s="39">
        <v>92.52</v>
      </c>
      <c r="G45" s="39">
        <v>51768315</v>
      </c>
      <c r="H45" s="6"/>
      <c r="I45" s="6"/>
    </row>
    <row r="46" spans="1:9" ht="24" customHeight="1">
      <c r="A46" s="38" t="s">
        <v>60</v>
      </c>
      <c r="B46" s="39">
        <v>95.87</v>
      </c>
      <c r="C46" s="39">
        <v>98.08</v>
      </c>
      <c r="D46" s="39">
        <v>90.26</v>
      </c>
      <c r="E46" s="39">
        <v>90.7</v>
      </c>
      <c r="F46" s="39">
        <v>80.16</v>
      </c>
      <c r="G46" s="39">
        <v>55686072</v>
      </c>
      <c r="H46" s="6"/>
      <c r="I46" s="6"/>
    </row>
    <row r="47" spans="1:9" ht="24" customHeight="1">
      <c r="A47" s="38" t="s">
        <v>61</v>
      </c>
      <c r="B47" s="39">
        <v>100.68</v>
      </c>
      <c r="C47" s="39">
        <v>102.89</v>
      </c>
      <c r="D47" s="39">
        <v>95.62</v>
      </c>
      <c r="E47" s="39">
        <v>97.47</v>
      </c>
      <c r="F47" s="39">
        <v>84.36</v>
      </c>
      <c r="G47" s="39">
        <v>52286790</v>
      </c>
      <c r="H47" s="6"/>
      <c r="I47" s="6"/>
    </row>
    <row r="48" spans="1:9" ht="24" customHeight="1">
      <c r="A48" s="41" t="s">
        <v>62</v>
      </c>
      <c r="B48" s="39">
        <v>90.97</v>
      </c>
      <c r="C48" s="39">
        <v>101.36</v>
      </c>
      <c r="D48" s="39">
        <v>90.21</v>
      </c>
      <c r="E48" s="39">
        <v>100.77</v>
      </c>
      <c r="F48" s="39">
        <v>87.22</v>
      </c>
      <c r="G48" s="39">
        <v>51126548</v>
      </c>
      <c r="H48" s="6"/>
      <c r="I48" s="6"/>
    </row>
    <row r="49" spans="1:9" ht="24" customHeight="1">
      <c r="A49" s="41" t="s">
        <v>63</v>
      </c>
      <c r="B49" s="39">
        <v>105</v>
      </c>
      <c r="C49" s="39">
        <v>106.71</v>
      </c>
      <c r="D49" s="39">
        <v>86.98</v>
      </c>
      <c r="E49" s="39">
        <v>90.38</v>
      </c>
      <c r="F49" s="39">
        <v>78.22</v>
      </c>
      <c r="G49" s="39">
        <v>77505527</v>
      </c>
      <c r="H49" s="6"/>
      <c r="I49" s="6"/>
    </row>
    <row r="50" spans="1:9" ht="24" customHeight="1">
      <c r="A50" s="41" t="s">
        <v>64</v>
      </c>
      <c r="B50" s="39">
        <v>103.1</v>
      </c>
      <c r="C50" s="39">
        <v>107.25</v>
      </c>
      <c r="D50" s="39">
        <v>100.26</v>
      </c>
      <c r="E50" s="39">
        <v>104.36</v>
      </c>
      <c r="F50" s="39">
        <v>90.32</v>
      </c>
      <c r="G50" s="39">
        <v>47008366</v>
      </c>
      <c r="H50" s="6"/>
      <c r="I50" s="6"/>
    </row>
    <row r="51" spans="1:9" ht="24" customHeight="1">
      <c r="A51" s="41" t="s">
        <v>65</v>
      </c>
      <c r="B51" s="39">
        <v>105.77</v>
      </c>
      <c r="C51" s="39">
        <v>108.39</v>
      </c>
      <c r="D51" s="39">
        <v>102.55</v>
      </c>
      <c r="E51" s="39">
        <v>103.88</v>
      </c>
      <c r="F51" s="39">
        <v>89.91</v>
      </c>
      <c r="G51" s="39">
        <v>32347336</v>
      </c>
      <c r="H51" s="6"/>
      <c r="I51" s="6"/>
    </row>
    <row r="52" spans="1:9" ht="24" customHeight="1">
      <c r="A52" s="41" t="s">
        <v>66</v>
      </c>
      <c r="B52" s="39">
        <v>94.01</v>
      </c>
      <c r="C52" s="39">
        <v>107.77</v>
      </c>
      <c r="D52" s="39">
        <v>92.59</v>
      </c>
      <c r="E52" s="39">
        <v>105.77</v>
      </c>
      <c r="F52" s="39">
        <v>91.54</v>
      </c>
      <c r="G52" s="39">
        <v>67453237</v>
      </c>
      <c r="H52" s="6"/>
      <c r="I52" s="6"/>
    </row>
    <row r="53" spans="1:9" ht="24" customHeight="1">
      <c r="A53" s="41" t="s">
        <v>67</v>
      </c>
      <c r="B53" s="39">
        <v>94.15</v>
      </c>
      <c r="C53" s="39">
        <v>100.78</v>
      </c>
      <c r="D53" s="39">
        <v>92.44</v>
      </c>
      <c r="E53" s="39">
        <v>93.46</v>
      </c>
      <c r="F53" s="39">
        <v>79.47</v>
      </c>
      <c r="G53" s="39">
        <v>69575173</v>
      </c>
      <c r="H53" s="6"/>
      <c r="I53" s="6"/>
    </row>
    <row r="54" spans="1:9" ht="24" customHeight="1">
      <c r="A54" s="41" t="s">
        <v>68</v>
      </c>
      <c r="B54" s="39">
        <v>101</v>
      </c>
      <c r="C54" s="39">
        <v>103.48</v>
      </c>
      <c r="D54" s="39">
        <v>92.37</v>
      </c>
      <c r="E54" s="39">
        <v>93.74</v>
      </c>
      <c r="F54" s="39">
        <v>79.709999999999994</v>
      </c>
      <c r="G54" s="39">
        <v>60499772</v>
      </c>
      <c r="H54" s="6"/>
      <c r="I54" s="6"/>
    </row>
    <row r="55" spans="1:9" ht="24" customHeight="1">
      <c r="A55" s="41" t="s">
        <v>69</v>
      </c>
      <c r="B55" s="39">
        <v>92.6</v>
      </c>
      <c r="C55" s="39">
        <v>102.67</v>
      </c>
      <c r="D55" s="39">
        <v>92.38</v>
      </c>
      <c r="E55" s="39">
        <v>101</v>
      </c>
      <c r="F55" s="39">
        <v>85.88</v>
      </c>
      <c r="G55" s="39">
        <v>44307503</v>
      </c>
      <c r="H55" s="6"/>
      <c r="I55" s="6"/>
    </row>
    <row r="56" spans="1:9" ht="24" customHeight="1">
      <c r="A56" s="41" t="s">
        <v>70</v>
      </c>
      <c r="B56" s="39">
        <v>105.68</v>
      </c>
      <c r="C56" s="39">
        <v>110.19</v>
      </c>
      <c r="D56" s="39">
        <v>92.7</v>
      </c>
      <c r="E56" s="39">
        <v>93.18</v>
      </c>
      <c r="F56" s="39">
        <v>79.23</v>
      </c>
      <c r="G56" s="39">
        <v>62462216</v>
      </c>
      <c r="H56" s="6"/>
      <c r="I56" s="6"/>
    </row>
    <row r="57" spans="1:9" ht="24" customHeight="1">
      <c r="A57" s="41" t="s">
        <v>71</v>
      </c>
      <c r="B57" s="39">
        <v>102</v>
      </c>
      <c r="C57" s="39">
        <v>107.2</v>
      </c>
      <c r="D57" s="39">
        <v>99.62</v>
      </c>
      <c r="E57" s="39">
        <v>104.68</v>
      </c>
      <c r="F57" s="39">
        <v>89.01</v>
      </c>
      <c r="G57" s="39">
        <v>76943576</v>
      </c>
      <c r="H57" s="6"/>
      <c r="I57" s="6"/>
    </row>
    <row r="58" spans="1:9" ht="24" customHeight="1">
      <c r="A58" s="41" t="s">
        <v>72</v>
      </c>
      <c r="B58" s="39">
        <v>99.62</v>
      </c>
      <c r="C58" s="39">
        <v>105.94</v>
      </c>
      <c r="D58" s="39">
        <v>99.15</v>
      </c>
      <c r="E58" s="39">
        <v>104.33</v>
      </c>
      <c r="F58" s="39">
        <v>88.71</v>
      </c>
      <c r="G58" s="39">
        <v>55849098</v>
      </c>
      <c r="H58" s="6"/>
      <c r="I58" s="6"/>
    </row>
    <row r="59" spans="1:9" ht="24" customHeight="1">
      <c r="A59" s="41" t="s">
        <v>73</v>
      </c>
      <c r="B59" s="39">
        <v>99.89</v>
      </c>
      <c r="C59" s="39">
        <v>109.03</v>
      </c>
      <c r="D59" s="39">
        <v>99</v>
      </c>
      <c r="E59" s="39">
        <v>100.12</v>
      </c>
      <c r="F59" s="39">
        <v>83.47</v>
      </c>
      <c r="G59" s="39">
        <v>53443965</v>
      </c>
      <c r="H59" s="6"/>
      <c r="I59" s="6"/>
    </row>
    <row r="60" spans="1:9" ht="24" customHeight="1">
      <c r="A60" s="41" t="s">
        <v>74</v>
      </c>
      <c r="B60" s="39">
        <v>99.85</v>
      </c>
      <c r="C60" s="39">
        <v>100.78</v>
      </c>
      <c r="D60" s="39">
        <v>96.03</v>
      </c>
      <c r="E60" s="39">
        <v>99.65</v>
      </c>
      <c r="F60" s="39">
        <v>83.08</v>
      </c>
      <c r="G60" s="39">
        <v>44484583</v>
      </c>
      <c r="H60" s="6"/>
      <c r="I60" s="6"/>
    </row>
    <row r="61" spans="1:9" ht="24" customHeight="1">
      <c r="A61" s="41" t="s">
        <v>75</v>
      </c>
      <c r="B61" s="39">
        <v>99.37</v>
      </c>
      <c r="C61" s="39">
        <v>106.57</v>
      </c>
      <c r="D61" s="39">
        <v>98.06</v>
      </c>
      <c r="E61" s="39">
        <v>99.87</v>
      </c>
      <c r="F61" s="39">
        <v>83.26</v>
      </c>
      <c r="G61" s="39">
        <v>54291932</v>
      </c>
      <c r="H61" s="6"/>
      <c r="I61" s="6"/>
    </row>
    <row r="62" spans="1:9" ht="24" customHeight="1">
      <c r="A62" s="41" t="s">
        <v>76</v>
      </c>
      <c r="B62" s="39">
        <v>89.47</v>
      </c>
      <c r="C62" s="39">
        <v>101.5</v>
      </c>
      <c r="D62" s="39">
        <v>89.21</v>
      </c>
      <c r="E62" s="39">
        <v>99.72</v>
      </c>
      <c r="F62" s="39">
        <v>83.14</v>
      </c>
      <c r="G62" s="39">
        <v>53825305</v>
      </c>
      <c r="H62" s="6"/>
      <c r="I6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L61"/>
  <sheetViews>
    <sheetView workbookViewId="0">
      <selection activeCell="H11" sqref="H11"/>
    </sheetView>
  </sheetViews>
  <sheetFormatPr baseColWidth="10" defaultRowHeight="18"/>
  <cols>
    <col min="1" max="1" width="12.6640625" style="41" bestFit="1" customWidth="1"/>
    <col min="2" max="5" width="11.83203125" style="41" bestFit="1" customWidth="1"/>
    <col min="6" max="6" width="14.5" style="41" customWidth="1"/>
    <col min="7" max="7" width="14.83203125" style="41" bestFit="1" customWidth="1"/>
    <col min="8" max="11" width="10.83203125" style="41"/>
    <col min="12" max="12" width="33.6640625" style="41" bestFit="1" customWidth="1"/>
    <col min="13" max="16384" width="10.83203125" style="41"/>
  </cols>
  <sheetData>
    <row r="1" spans="1:12">
      <c r="A1" s="44" t="s">
        <v>77</v>
      </c>
      <c r="B1" s="44" t="s">
        <v>9</v>
      </c>
      <c r="C1" s="44" t="s">
        <v>10</v>
      </c>
      <c r="D1" s="44" t="s">
        <v>78</v>
      </c>
      <c r="E1" s="44" t="s">
        <v>79</v>
      </c>
      <c r="F1" s="44" t="s">
        <v>13</v>
      </c>
      <c r="G1" s="44" t="s">
        <v>14</v>
      </c>
    </row>
    <row r="2" spans="1:12">
      <c r="A2" s="45">
        <v>46113</v>
      </c>
      <c r="B2" s="46">
        <v>8481.7999999999993</v>
      </c>
      <c r="C2" s="46">
        <v>9021.5</v>
      </c>
      <c r="D2" s="46">
        <v>8481.7999999999993</v>
      </c>
      <c r="E2" s="46">
        <v>8786.5</v>
      </c>
      <c r="F2" s="46">
        <v>8786.5</v>
      </c>
      <c r="G2" s="47">
        <v>12006900</v>
      </c>
    </row>
    <row r="3" spans="1:12">
      <c r="A3" s="45">
        <v>46082</v>
      </c>
      <c r="B3" s="46">
        <v>9200.9</v>
      </c>
      <c r="C3" s="46">
        <v>9200.9</v>
      </c>
      <c r="D3" s="46">
        <v>8262.4</v>
      </c>
      <c r="E3" s="46">
        <v>8481.7999999999993</v>
      </c>
      <c r="F3" s="46">
        <v>8481.7999999999993</v>
      </c>
      <c r="G3" s="47">
        <v>18254900</v>
      </c>
    </row>
    <row r="4" spans="1:12">
      <c r="A4" s="45">
        <v>46054</v>
      </c>
      <c r="B4" s="46">
        <v>8869.1</v>
      </c>
      <c r="C4" s="46">
        <v>9202.9</v>
      </c>
      <c r="D4" s="46">
        <v>8683.7000000000007</v>
      </c>
      <c r="E4" s="46">
        <v>9198.6</v>
      </c>
      <c r="F4" s="46">
        <v>9198.6</v>
      </c>
      <c r="G4" s="47">
        <v>14130400</v>
      </c>
    </row>
    <row r="5" spans="1:12">
      <c r="A5" s="45">
        <v>46023</v>
      </c>
      <c r="B5" s="46">
        <v>8714.2999999999993</v>
      </c>
      <c r="C5" s="46">
        <v>8978.5</v>
      </c>
      <c r="D5" s="46">
        <v>8682.7999999999993</v>
      </c>
      <c r="E5" s="46">
        <v>8869.1</v>
      </c>
      <c r="F5" s="46">
        <v>8869.1</v>
      </c>
      <c r="G5" s="47">
        <v>11146900</v>
      </c>
    </row>
    <row r="6" spans="1:12">
      <c r="A6" s="45">
        <v>45992</v>
      </c>
      <c r="B6" s="46">
        <v>8614.1</v>
      </c>
      <c r="C6" s="46">
        <v>8805.5</v>
      </c>
      <c r="D6" s="46">
        <v>8547.1</v>
      </c>
      <c r="E6" s="46">
        <v>8714.2999999999993</v>
      </c>
      <c r="F6" s="46">
        <v>8714.2999999999993</v>
      </c>
      <c r="G6" s="47">
        <v>13136500</v>
      </c>
    </row>
    <row r="7" spans="1:12">
      <c r="A7" s="45">
        <v>45962</v>
      </c>
      <c r="B7" s="46">
        <v>8881.9</v>
      </c>
      <c r="C7" s="46">
        <v>8894.7999999999993</v>
      </c>
      <c r="D7" s="46">
        <v>8383.2000000000007</v>
      </c>
      <c r="E7" s="46">
        <v>8614.1</v>
      </c>
      <c r="F7" s="46">
        <v>8614.1</v>
      </c>
      <c r="G7" s="47">
        <v>11974800</v>
      </c>
    </row>
    <row r="8" spans="1:12">
      <c r="A8" s="45">
        <v>45931</v>
      </c>
      <c r="B8" s="46">
        <v>8848.7999999999993</v>
      </c>
      <c r="C8" s="46">
        <v>9115.2000000000007</v>
      </c>
      <c r="D8" s="46">
        <v>8809</v>
      </c>
      <c r="E8" s="46">
        <v>8881.9</v>
      </c>
      <c r="F8" s="46">
        <v>8881.9</v>
      </c>
      <c r="G8" s="47">
        <v>15555200</v>
      </c>
    </row>
    <row r="9" spans="1:12">
      <c r="A9" s="45">
        <v>45901</v>
      </c>
      <c r="B9" s="46">
        <v>8973.1</v>
      </c>
      <c r="C9" s="46">
        <v>8973.1</v>
      </c>
      <c r="D9" s="46">
        <v>8731.2999999999993</v>
      </c>
      <c r="E9" s="46">
        <v>8848.7999999999993</v>
      </c>
      <c r="F9" s="46">
        <v>8848.7999999999993</v>
      </c>
      <c r="G9" s="47">
        <v>17242700</v>
      </c>
    </row>
    <row r="10" spans="1:12">
      <c r="A10" s="45">
        <v>45870</v>
      </c>
      <c r="B10" s="46">
        <v>8742.7999999999993</v>
      </c>
      <c r="C10" s="46">
        <v>9054.5</v>
      </c>
      <c r="D10" s="46">
        <v>8630.9</v>
      </c>
      <c r="E10" s="46">
        <v>8973.1</v>
      </c>
      <c r="F10" s="46">
        <v>8973.1</v>
      </c>
      <c r="G10" s="47">
        <v>15145500</v>
      </c>
    </row>
    <row r="11" spans="1:12">
      <c r="A11" s="45">
        <v>45839</v>
      </c>
      <c r="B11" s="46">
        <v>8542.2999999999993</v>
      </c>
      <c r="C11" s="46">
        <v>8776.4</v>
      </c>
      <c r="D11" s="46">
        <v>8531.4</v>
      </c>
      <c r="E11" s="46">
        <v>8742.7999999999993</v>
      </c>
      <c r="F11" s="46">
        <v>8742.7999999999993</v>
      </c>
      <c r="G11" s="47">
        <v>14678800</v>
      </c>
      <c r="L11" s="36" t="s">
        <v>80</v>
      </c>
    </row>
    <row r="12" spans="1:12">
      <c r="A12" s="45">
        <v>45809</v>
      </c>
      <c r="B12" s="46">
        <v>8434.7000000000007</v>
      </c>
      <c r="C12" s="46">
        <v>8639.1</v>
      </c>
      <c r="D12" s="46">
        <v>8401.1</v>
      </c>
      <c r="E12" s="46">
        <v>8542.2999999999993</v>
      </c>
      <c r="F12" s="46">
        <v>8542.2999999999993</v>
      </c>
      <c r="G12" s="47">
        <v>15624700</v>
      </c>
    </row>
    <row r="13" spans="1:12">
      <c r="A13" s="45">
        <v>45778</v>
      </c>
      <c r="B13" s="46">
        <v>8126.2</v>
      </c>
      <c r="C13" s="46">
        <v>8453</v>
      </c>
      <c r="D13" s="46">
        <v>8109.7</v>
      </c>
      <c r="E13" s="46">
        <v>8434.7000000000007</v>
      </c>
      <c r="F13" s="46">
        <v>8434.7000000000007</v>
      </c>
      <c r="G13" s="47">
        <v>16637500</v>
      </c>
    </row>
    <row r="14" spans="1:12">
      <c r="A14" s="45">
        <v>45748</v>
      </c>
      <c r="B14" s="46">
        <v>7843.4</v>
      </c>
      <c r="C14" s="46">
        <v>8126.2</v>
      </c>
      <c r="D14" s="46">
        <v>7169.2</v>
      </c>
      <c r="E14" s="46">
        <v>8126.2</v>
      </c>
      <c r="F14" s="46">
        <v>8126.2</v>
      </c>
      <c r="G14" s="47">
        <v>15770900</v>
      </c>
    </row>
    <row r="15" spans="1:12">
      <c r="A15" s="45">
        <v>45717</v>
      </c>
      <c r="B15" s="46">
        <v>8172.4</v>
      </c>
      <c r="C15" s="46">
        <v>8251.9</v>
      </c>
      <c r="D15" s="46">
        <v>7733.5</v>
      </c>
      <c r="E15" s="46">
        <v>7843.4</v>
      </c>
      <c r="F15" s="46">
        <v>7843.4</v>
      </c>
      <c r="G15" s="47">
        <v>17221100</v>
      </c>
    </row>
    <row r="16" spans="1:12">
      <c r="A16" s="45">
        <v>45689</v>
      </c>
      <c r="B16" s="46">
        <v>8532.2999999999993</v>
      </c>
      <c r="C16" s="46">
        <v>8615.2000000000007</v>
      </c>
      <c r="D16" s="46">
        <v>8155.5</v>
      </c>
      <c r="E16" s="46">
        <v>8172.4</v>
      </c>
      <c r="F16" s="46">
        <v>8172.4</v>
      </c>
      <c r="G16" s="47">
        <v>14171000</v>
      </c>
    </row>
    <row r="17" spans="1:7">
      <c r="A17" s="45">
        <v>45658</v>
      </c>
      <c r="B17" s="46">
        <v>8159.1</v>
      </c>
      <c r="C17" s="46">
        <v>8566.9</v>
      </c>
      <c r="D17" s="46">
        <v>8146.6</v>
      </c>
      <c r="E17" s="46">
        <v>8532.2999999999993</v>
      </c>
      <c r="F17" s="46">
        <v>8532.2999999999993</v>
      </c>
      <c r="G17" s="47">
        <v>9036500</v>
      </c>
    </row>
    <row r="18" spans="1:7">
      <c r="A18" s="45">
        <v>45627</v>
      </c>
      <c r="B18" s="46">
        <v>8436.2000000000007</v>
      </c>
      <c r="C18" s="46">
        <v>8514.5</v>
      </c>
      <c r="D18" s="46">
        <v>8051.2</v>
      </c>
      <c r="E18" s="46">
        <v>8159.1</v>
      </c>
      <c r="F18" s="46">
        <v>8159.1</v>
      </c>
      <c r="G18" s="47">
        <v>11145300</v>
      </c>
    </row>
    <row r="19" spans="1:7">
      <c r="A19" s="45">
        <v>45597</v>
      </c>
      <c r="B19" s="46">
        <v>8160</v>
      </c>
      <c r="C19" s="46">
        <v>8477.1</v>
      </c>
      <c r="D19" s="46">
        <v>8063.2</v>
      </c>
      <c r="E19" s="46">
        <v>8436.2000000000007</v>
      </c>
      <c r="F19" s="46">
        <v>8436.2000000000007</v>
      </c>
      <c r="G19" s="47">
        <v>11439000</v>
      </c>
    </row>
    <row r="20" spans="1:7">
      <c r="A20" s="45">
        <v>45566</v>
      </c>
      <c r="B20" s="46">
        <v>8269.7999999999993</v>
      </c>
      <c r="C20" s="46">
        <v>8384.5</v>
      </c>
      <c r="D20" s="46">
        <v>8107.6</v>
      </c>
      <c r="E20" s="46">
        <v>8160</v>
      </c>
      <c r="F20" s="46">
        <v>8160</v>
      </c>
      <c r="G20" s="47">
        <v>13307400</v>
      </c>
    </row>
    <row r="21" spans="1:7">
      <c r="A21" s="45">
        <v>45536</v>
      </c>
      <c r="B21" s="46">
        <v>8091.8</v>
      </c>
      <c r="C21" s="46">
        <v>8285.7000000000007</v>
      </c>
      <c r="D21" s="46">
        <v>7918.9</v>
      </c>
      <c r="E21" s="46">
        <v>8269.7999999999993</v>
      </c>
      <c r="F21" s="46">
        <v>8269.7999999999993</v>
      </c>
      <c r="G21" s="47">
        <v>15045900</v>
      </c>
    </row>
    <row r="22" spans="1:7">
      <c r="A22" s="45">
        <v>45505</v>
      </c>
      <c r="B22" s="46">
        <v>8092.3</v>
      </c>
      <c r="C22" s="46">
        <v>8148.7</v>
      </c>
      <c r="D22" s="46">
        <v>7628.1</v>
      </c>
      <c r="E22" s="46">
        <v>8091.9</v>
      </c>
      <c r="F22" s="46">
        <v>8091.9</v>
      </c>
      <c r="G22" s="47">
        <v>15032500</v>
      </c>
    </row>
    <row r="23" spans="1:7">
      <c r="A23" s="45">
        <v>45474</v>
      </c>
      <c r="B23" s="46">
        <v>7767.5</v>
      </c>
      <c r="C23" s="46">
        <v>8092.3</v>
      </c>
      <c r="D23" s="46">
        <v>7702.5</v>
      </c>
      <c r="E23" s="46">
        <v>8092.3</v>
      </c>
      <c r="F23" s="46">
        <v>8092.3</v>
      </c>
      <c r="G23" s="47">
        <v>12789300</v>
      </c>
    </row>
    <row r="24" spans="1:7">
      <c r="A24" s="45">
        <v>45444</v>
      </c>
      <c r="B24" s="46">
        <v>7701.7</v>
      </c>
      <c r="C24" s="46">
        <v>7861.8</v>
      </c>
      <c r="D24" s="46">
        <v>7654.2</v>
      </c>
      <c r="E24" s="46">
        <v>7767.5</v>
      </c>
      <c r="F24" s="46">
        <v>7767.5</v>
      </c>
      <c r="G24" s="47">
        <v>12752200</v>
      </c>
    </row>
    <row r="25" spans="1:7">
      <c r="A25" s="45">
        <v>45413</v>
      </c>
      <c r="B25" s="46">
        <v>7664.1</v>
      </c>
      <c r="C25" s="46">
        <v>7900.2</v>
      </c>
      <c r="D25" s="46">
        <v>7556.5</v>
      </c>
      <c r="E25" s="46">
        <v>7701.7</v>
      </c>
      <c r="F25" s="46">
        <v>7701.7</v>
      </c>
      <c r="G25" s="47">
        <v>13664600</v>
      </c>
    </row>
    <row r="26" spans="1:7">
      <c r="A26" s="45">
        <v>45383</v>
      </c>
      <c r="B26" s="46">
        <v>7896.9</v>
      </c>
      <c r="C26" s="46">
        <v>7910.5</v>
      </c>
      <c r="D26" s="46">
        <v>7492.6</v>
      </c>
      <c r="E26" s="46">
        <v>7664.1</v>
      </c>
      <c r="F26" s="46">
        <v>7664.1</v>
      </c>
      <c r="G26" s="47">
        <v>11625600</v>
      </c>
    </row>
    <row r="27" spans="1:7">
      <c r="A27" s="45">
        <v>45352</v>
      </c>
      <c r="B27" s="46">
        <v>7698.7</v>
      </c>
      <c r="C27" s="46">
        <v>7901.2</v>
      </c>
      <c r="D27" s="46">
        <v>7591.4</v>
      </c>
      <c r="E27" s="46">
        <v>7896.9</v>
      </c>
      <c r="F27" s="46">
        <v>7896.9</v>
      </c>
      <c r="G27" s="47">
        <v>14578200</v>
      </c>
    </row>
    <row r="28" spans="1:7">
      <c r="A28" s="45">
        <v>45323</v>
      </c>
      <c r="B28" s="46">
        <v>7680.7</v>
      </c>
      <c r="C28" s="46">
        <v>7703.8</v>
      </c>
      <c r="D28" s="46">
        <v>7489.4</v>
      </c>
      <c r="E28" s="46">
        <v>7698.7</v>
      </c>
      <c r="F28" s="46">
        <v>7698.7</v>
      </c>
      <c r="G28" s="47">
        <v>16954400</v>
      </c>
    </row>
    <row r="29" spans="1:7">
      <c r="A29" s="45">
        <v>45292</v>
      </c>
      <c r="B29" s="46">
        <v>7590.8</v>
      </c>
      <c r="C29" s="46">
        <v>7682.3</v>
      </c>
      <c r="D29" s="46">
        <v>7322</v>
      </c>
      <c r="E29" s="46">
        <v>7680.7</v>
      </c>
      <c r="F29" s="46">
        <v>7680.7</v>
      </c>
      <c r="G29" s="47">
        <v>11362400</v>
      </c>
    </row>
    <row r="30" spans="1:7">
      <c r="A30" s="45">
        <v>45261</v>
      </c>
      <c r="B30" s="46">
        <v>7087.3</v>
      </c>
      <c r="C30" s="46">
        <v>7614.3</v>
      </c>
      <c r="D30" s="46">
        <v>7041.1</v>
      </c>
      <c r="E30" s="46">
        <v>7590.8</v>
      </c>
      <c r="F30" s="46">
        <v>7590.8</v>
      </c>
      <c r="G30" s="47">
        <v>14456900</v>
      </c>
    </row>
    <row r="31" spans="1:7">
      <c r="A31" s="45">
        <v>45231</v>
      </c>
      <c r="B31" s="46">
        <v>6780.7</v>
      </c>
      <c r="C31" s="46">
        <v>7125.6</v>
      </c>
      <c r="D31" s="46">
        <v>6780.7</v>
      </c>
      <c r="E31" s="46">
        <v>7087.3</v>
      </c>
      <c r="F31" s="46">
        <v>7087.3</v>
      </c>
      <c r="G31" s="47">
        <v>14741100</v>
      </c>
    </row>
    <row r="32" spans="1:7">
      <c r="A32" s="45">
        <v>45200</v>
      </c>
      <c r="B32" s="46">
        <v>7048.6</v>
      </c>
      <c r="C32" s="46">
        <v>7112.7</v>
      </c>
      <c r="D32" s="46">
        <v>6751.3</v>
      </c>
      <c r="E32" s="46">
        <v>6780.7</v>
      </c>
      <c r="F32" s="46">
        <v>6780.7</v>
      </c>
      <c r="G32" s="47">
        <v>15749400</v>
      </c>
    </row>
    <row r="33" spans="1:7">
      <c r="A33" s="45">
        <v>45170</v>
      </c>
      <c r="B33" s="46">
        <v>7294.4</v>
      </c>
      <c r="C33" s="46">
        <v>7340.9</v>
      </c>
      <c r="D33" s="46">
        <v>6957.2</v>
      </c>
      <c r="E33" s="46">
        <v>7048.6</v>
      </c>
      <c r="F33" s="46">
        <v>7048.6</v>
      </c>
      <c r="G33" s="47">
        <v>15669700</v>
      </c>
    </row>
    <row r="34" spans="1:7">
      <c r="A34" s="45">
        <v>45139</v>
      </c>
      <c r="B34" s="46">
        <v>7410.4</v>
      </c>
      <c r="C34" s="46">
        <v>7470.1</v>
      </c>
      <c r="D34" s="46">
        <v>7090</v>
      </c>
      <c r="E34" s="46">
        <v>7305.3</v>
      </c>
      <c r="F34" s="46">
        <v>7305.3</v>
      </c>
      <c r="G34" s="47">
        <v>16228200</v>
      </c>
    </row>
    <row r="35" spans="1:7">
      <c r="A35" s="45">
        <v>45108</v>
      </c>
      <c r="B35" s="46">
        <v>7204.8</v>
      </c>
      <c r="C35" s="46">
        <v>7472.3</v>
      </c>
      <c r="D35" s="46">
        <v>6998.1</v>
      </c>
      <c r="E35" s="46">
        <v>7410.4</v>
      </c>
      <c r="F35" s="46">
        <v>7410.4</v>
      </c>
      <c r="G35" s="47">
        <v>12484600</v>
      </c>
    </row>
    <row r="36" spans="1:7">
      <c r="A36" s="45">
        <v>45078</v>
      </c>
      <c r="B36" s="46">
        <v>7087.4</v>
      </c>
      <c r="C36" s="46">
        <v>7368.4</v>
      </c>
      <c r="D36" s="46">
        <v>7054.8</v>
      </c>
      <c r="E36" s="46">
        <v>7203.3</v>
      </c>
      <c r="F36" s="46">
        <v>7203.3</v>
      </c>
      <c r="G36" s="47">
        <v>14950600</v>
      </c>
    </row>
    <row r="37" spans="1:7">
      <c r="A37" s="45">
        <v>45047</v>
      </c>
      <c r="B37" s="46">
        <v>7317.6</v>
      </c>
      <c r="C37" s="46">
        <v>7368</v>
      </c>
      <c r="D37" s="46">
        <v>7091.3</v>
      </c>
      <c r="E37" s="46">
        <v>7091.3</v>
      </c>
      <c r="F37" s="46">
        <v>7091.3</v>
      </c>
      <c r="G37" s="47">
        <v>15275800</v>
      </c>
    </row>
    <row r="38" spans="1:7">
      <c r="A38" s="45">
        <v>45017</v>
      </c>
      <c r="B38" s="46">
        <v>7190.8</v>
      </c>
      <c r="C38" s="46">
        <v>7391.2</v>
      </c>
      <c r="D38" s="46">
        <v>7187.4</v>
      </c>
      <c r="E38" s="46">
        <v>7309.2</v>
      </c>
      <c r="F38" s="46">
        <v>7309.2</v>
      </c>
      <c r="G38" s="47">
        <v>11430600</v>
      </c>
    </row>
    <row r="39" spans="1:7">
      <c r="A39" s="45">
        <v>44986</v>
      </c>
      <c r="B39" s="46">
        <v>7258.2</v>
      </c>
      <c r="C39" s="46">
        <v>7370.3</v>
      </c>
      <c r="D39" s="46">
        <v>6895</v>
      </c>
      <c r="E39" s="46">
        <v>7177.8</v>
      </c>
      <c r="F39" s="46">
        <v>7177.8</v>
      </c>
      <c r="G39" s="47">
        <v>18097900</v>
      </c>
    </row>
    <row r="40" spans="1:7">
      <c r="A40" s="45">
        <v>44958</v>
      </c>
      <c r="B40" s="46">
        <v>7488.1</v>
      </c>
      <c r="C40" s="46">
        <v>7567.7</v>
      </c>
      <c r="D40" s="46">
        <v>7193.4</v>
      </c>
      <c r="E40" s="46">
        <v>7258.4</v>
      </c>
      <c r="F40" s="46">
        <v>7258.4</v>
      </c>
      <c r="G40" s="47">
        <v>14232100</v>
      </c>
    </row>
    <row r="41" spans="1:7">
      <c r="A41" s="45">
        <v>44927</v>
      </c>
      <c r="B41" s="46">
        <v>7046.3</v>
      </c>
      <c r="C41" s="46">
        <v>7516.8</v>
      </c>
      <c r="D41" s="46">
        <v>6905.3</v>
      </c>
      <c r="E41" s="46">
        <v>7476.7</v>
      </c>
      <c r="F41" s="46">
        <v>7476.7</v>
      </c>
      <c r="G41" s="47">
        <v>12052400</v>
      </c>
    </row>
    <row r="42" spans="1:7">
      <c r="A42" s="45">
        <v>44896</v>
      </c>
      <c r="B42" s="46">
        <v>7306</v>
      </c>
      <c r="C42" s="46">
        <v>7375.2</v>
      </c>
      <c r="D42" s="46">
        <v>6993.8</v>
      </c>
      <c r="E42" s="46">
        <v>7038.7</v>
      </c>
      <c r="F42" s="46">
        <v>7038.7</v>
      </c>
      <c r="G42" s="47">
        <v>13780900</v>
      </c>
    </row>
    <row r="43" spans="1:7">
      <c r="A43" s="45">
        <v>44866</v>
      </c>
      <c r="B43" s="46">
        <v>6866.5</v>
      </c>
      <c r="C43" s="46">
        <v>7293.7</v>
      </c>
      <c r="D43" s="46">
        <v>6823</v>
      </c>
      <c r="E43" s="46">
        <v>7284.2</v>
      </c>
      <c r="F43" s="46">
        <v>7284.2</v>
      </c>
      <c r="G43" s="47">
        <v>16835200</v>
      </c>
    </row>
    <row r="44" spans="1:7">
      <c r="A44" s="45">
        <v>44835</v>
      </c>
      <c r="B44" s="46">
        <v>6485.6</v>
      </c>
      <c r="C44" s="46">
        <v>6873.8</v>
      </c>
      <c r="D44" s="46">
        <v>6411.9</v>
      </c>
      <c r="E44" s="46">
        <v>6863.5</v>
      </c>
      <c r="F44" s="46">
        <v>6863.5</v>
      </c>
      <c r="G44" s="47">
        <v>16439200</v>
      </c>
    </row>
    <row r="45" spans="1:7">
      <c r="A45" s="45">
        <v>44805</v>
      </c>
      <c r="B45" s="46">
        <v>6924.9</v>
      </c>
      <c r="C45" s="46">
        <v>7015.2</v>
      </c>
      <c r="D45" s="46">
        <v>6433.1</v>
      </c>
      <c r="E45" s="46">
        <v>6474.2</v>
      </c>
      <c r="F45" s="46">
        <v>6474.2</v>
      </c>
      <c r="G45" s="47">
        <v>18937400</v>
      </c>
    </row>
    <row r="46" spans="1:7">
      <c r="A46" s="45">
        <v>44774</v>
      </c>
      <c r="B46" s="46">
        <v>6951.3</v>
      </c>
      <c r="C46" s="46">
        <v>7137.5</v>
      </c>
      <c r="D46" s="46">
        <v>6918.2</v>
      </c>
      <c r="E46" s="46">
        <v>6986.8</v>
      </c>
      <c r="F46" s="46">
        <v>6986.8</v>
      </c>
      <c r="G46" s="47">
        <v>16233100</v>
      </c>
    </row>
    <row r="47" spans="1:7">
      <c r="A47" s="45">
        <v>44743</v>
      </c>
      <c r="B47" s="46">
        <v>6567.3</v>
      </c>
      <c r="C47" s="46">
        <v>6973.6</v>
      </c>
      <c r="D47" s="46">
        <v>6537.2</v>
      </c>
      <c r="E47" s="46">
        <v>6945.2</v>
      </c>
      <c r="F47" s="46">
        <v>6945.2</v>
      </c>
      <c r="G47" s="47">
        <v>14059200</v>
      </c>
    </row>
    <row r="48" spans="1:7">
      <c r="A48" s="45">
        <v>44713</v>
      </c>
      <c r="B48" s="46">
        <v>7210.5</v>
      </c>
      <c r="C48" s="46">
        <v>7254.6</v>
      </c>
      <c r="D48" s="46">
        <v>6407</v>
      </c>
      <c r="E48" s="46">
        <v>6568.1</v>
      </c>
      <c r="F48" s="46">
        <v>6568.1</v>
      </c>
      <c r="G48" s="47">
        <v>18287300</v>
      </c>
    </row>
    <row r="49" spans="1:7">
      <c r="A49" s="45">
        <v>44682</v>
      </c>
      <c r="B49" s="46">
        <v>7422</v>
      </c>
      <c r="C49" s="46">
        <v>7423.2</v>
      </c>
      <c r="D49" s="46">
        <v>6930.2</v>
      </c>
      <c r="E49" s="46">
        <v>7211.2</v>
      </c>
      <c r="F49" s="46">
        <v>7211.2</v>
      </c>
      <c r="G49" s="47">
        <v>15910300</v>
      </c>
    </row>
    <row r="50" spans="1:7">
      <c r="A50" s="45">
        <v>44652</v>
      </c>
      <c r="B50" s="46">
        <v>7509.7</v>
      </c>
      <c r="C50" s="46">
        <v>7624.8</v>
      </c>
      <c r="D50" s="46">
        <v>7233.3</v>
      </c>
      <c r="E50" s="46">
        <v>7435</v>
      </c>
      <c r="F50" s="46">
        <v>7435</v>
      </c>
      <c r="G50" s="47">
        <v>11992800</v>
      </c>
    </row>
    <row r="51" spans="1:7">
      <c r="A51" s="45">
        <v>44621</v>
      </c>
      <c r="B51" s="46">
        <v>7061</v>
      </c>
      <c r="C51" s="46">
        <v>7556.6</v>
      </c>
      <c r="D51" s="46">
        <v>6968.9</v>
      </c>
      <c r="E51" s="46">
        <v>7499.6</v>
      </c>
      <c r="F51" s="46">
        <v>7499.6</v>
      </c>
      <c r="G51" s="47">
        <v>18822500</v>
      </c>
    </row>
    <row r="52" spans="1:7">
      <c r="A52" s="45">
        <v>44593</v>
      </c>
      <c r="B52" s="46">
        <v>6958.3</v>
      </c>
      <c r="C52" s="46">
        <v>7356.8</v>
      </c>
      <c r="D52" s="46">
        <v>6945.7</v>
      </c>
      <c r="E52" s="46">
        <v>7049.1</v>
      </c>
      <c r="F52" s="46">
        <v>7049.1</v>
      </c>
      <c r="G52" s="47">
        <v>15918500</v>
      </c>
    </row>
    <row r="53" spans="1:7">
      <c r="A53" s="45">
        <v>44562</v>
      </c>
      <c r="B53" s="46">
        <v>7456.2</v>
      </c>
      <c r="C53" s="46">
        <v>7620.2</v>
      </c>
      <c r="D53" s="46">
        <v>6758.2</v>
      </c>
      <c r="E53" s="46">
        <v>6971.6</v>
      </c>
      <c r="F53" s="46">
        <v>6971.6</v>
      </c>
      <c r="G53" s="47">
        <v>14229600</v>
      </c>
    </row>
    <row r="54" spans="1:7">
      <c r="A54" s="45">
        <v>44531</v>
      </c>
      <c r="B54" s="46">
        <v>7251.9</v>
      </c>
      <c r="C54" s="46">
        <v>7520.6</v>
      </c>
      <c r="D54" s="46">
        <v>7168.9</v>
      </c>
      <c r="E54" s="46">
        <v>7444.6</v>
      </c>
      <c r="F54" s="46">
        <v>7444.6</v>
      </c>
      <c r="G54" s="47">
        <v>11970000</v>
      </c>
    </row>
    <row r="55" spans="1:7">
      <c r="A55" s="45">
        <v>44501</v>
      </c>
      <c r="B55" s="46">
        <v>7332.5</v>
      </c>
      <c r="C55" s="46">
        <v>7479.1</v>
      </c>
      <c r="D55" s="46">
        <v>7180.3</v>
      </c>
      <c r="E55" s="46">
        <v>7256</v>
      </c>
      <c r="F55" s="46">
        <v>7256</v>
      </c>
      <c r="G55" s="47">
        <v>13541500</v>
      </c>
    </row>
    <row r="56" spans="1:7">
      <c r="A56" s="45">
        <v>44470</v>
      </c>
      <c r="B56" s="46">
        <v>7310.7</v>
      </c>
      <c r="C56" s="46">
        <v>7473.9</v>
      </c>
      <c r="D56" s="46">
        <v>7157.9</v>
      </c>
      <c r="E56" s="46">
        <v>7323.7</v>
      </c>
      <c r="F56" s="46">
        <v>7323.7</v>
      </c>
      <c r="G56" s="47">
        <v>13269000</v>
      </c>
    </row>
    <row r="57" spans="1:7">
      <c r="A57" s="45">
        <v>44440</v>
      </c>
      <c r="B57" s="46">
        <v>7524.8</v>
      </c>
      <c r="C57" s="46">
        <v>7539</v>
      </c>
      <c r="D57" s="46">
        <v>7145.7</v>
      </c>
      <c r="E57" s="46">
        <v>7332.2</v>
      </c>
      <c r="F57" s="46">
        <v>7332.2</v>
      </c>
      <c r="G57" s="47">
        <v>16495000</v>
      </c>
    </row>
    <row r="58" spans="1:7">
      <c r="A58" s="45">
        <v>44409</v>
      </c>
      <c r="B58" s="46">
        <v>7415.9</v>
      </c>
      <c r="C58" s="46">
        <v>7632.8</v>
      </c>
      <c r="D58" s="46">
        <v>7414.9</v>
      </c>
      <c r="E58" s="46">
        <v>7534.9</v>
      </c>
      <c r="F58" s="46">
        <v>7534.9</v>
      </c>
      <c r="G58" s="47">
        <v>13992300</v>
      </c>
    </row>
    <row r="59" spans="1:7">
      <c r="A59" s="45">
        <v>44378</v>
      </c>
      <c r="B59" s="46">
        <v>7314.7</v>
      </c>
      <c r="C59" s="46">
        <v>7447.9</v>
      </c>
      <c r="D59" s="46">
        <v>7205</v>
      </c>
      <c r="E59" s="46">
        <v>7392.6</v>
      </c>
      <c r="F59" s="46">
        <v>7392.6</v>
      </c>
      <c r="G59" s="47">
        <v>12018600</v>
      </c>
    </row>
    <row r="60" spans="1:7">
      <c r="A60" s="45">
        <v>44348</v>
      </c>
      <c r="B60" s="46">
        <v>7162.8</v>
      </c>
      <c r="C60" s="46">
        <v>7406.2</v>
      </c>
      <c r="D60" s="46">
        <v>7117.5</v>
      </c>
      <c r="E60" s="46">
        <v>7313</v>
      </c>
      <c r="F60" s="46">
        <v>7313</v>
      </c>
      <c r="G60" s="47">
        <v>12801900</v>
      </c>
    </row>
    <row r="61" spans="1:7">
      <c r="A61" s="45">
        <v>44317</v>
      </c>
      <c r="B61" s="46">
        <v>7022</v>
      </c>
      <c r="C61" s="46">
        <v>7203.3</v>
      </c>
      <c r="D61" s="46">
        <v>6917.3</v>
      </c>
      <c r="E61" s="46">
        <v>7161.6</v>
      </c>
      <c r="F61" s="46">
        <v>7161.6</v>
      </c>
      <c r="G61" s="47">
        <v>12443000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17"/>
  <sheetViews>
    <sheetView workbookViewId="0">
      <selection activeCell="A14" sqref="A14"/>
    </sheetView>
  </sheetViews>
  <sheetFormatPr baseColWidth="10" defaultRowHeight="16"/>
  <cols>
    <col min="1" max="1" width="28.6640625" bestFit="1" customWidth="1"/>
    <col min="2" max="2" width="15.6640625" customWidth="1"/>
    <col min="3" max="3" width="14.83203125" customWidth="1"/>
    <col min="4" max="4" width="22.33203125" customWidth="1"/>
    <col min="5" max="5" width="9.1640625" customWidth="1"/>
    <col min="6" max="6" width="23.83203125" bestFit="1" customWidth="1"/>
    <col min="7" max="7" width="8" bestFit="1" customWidth="1"/>
    <col min="8" max="8" width="6.1640625" bestFit="1" customWidth="1"/>
    <col min="9" max="9" width="16.1640625" customWidth="1"/>
  </cols>
  <sheetData>
    <row r="1" spans="1:4" ht="29" customHeight="1">
      <c r="A1" s="48" t="s">
        <v>81</v>
      </c>
      <c r="B1" s="43"/>
      <c r="C1" s="43"/>
      <c r="D1" s="43"/>
    </row>
    <row r="2" spans="1:4" ht="18">
      <c r="A2" s="50" t="s">
        <v>83</v>
      </c>
      <c r="B2" s="50" t="s">
        <v>84</v>
      </c>
      <c r="C2" s="50" t="s">
        <v>85</v>
      </c>
      <c r="D2" s="50" t="s">
        <v>86</v>
      </c>
    </row>
    <row r="3" spans="1:4" ht="19" customHeight="1">
      <c r="A3" s="53" t="s">
        <v>82</v>
      </c>
      <c r="B3" s="54">
        <v>0.30499999999999999</v>
      </c>
      <c r="C3" s="53"/>
      <c r="D3" s="53"/>
    </row>
    <row r="4" spans="1:4" ht="20" customHeight="1">
      <c r="A4" s="52"/>
      <c r="B4" s="52"/>
      <c r="C4" s="52"/>
      <c r="D4" s="52"/>
    </row>
    <row r="5" spans="1:4" ht="20" customHeight="1">
      <c r="A5" s="53"/>
      <c r="B5" s="53"/>
      <c r="C5" s="53"/>
      <c r="D5" s="53">
        <f t="shared" ref="D5:D10" si="0">B5+C5</f>
        <v>0</v>
      </c>
    </row>
    <row r="6" spans="1:4" ht="20" customHeight="1">
      <c r="A6" s="51" t="s">
        <v>87</v>
      </c>
      <c r="B6" s="51">
        <v>1.75</v>
      </c>
      <c r="C6" s="51">
        <v>2</v>
      </c>
      <c r="D6" s="51">
        <f t="shared" si="0"/>
        <v>3.75</v>
      </c>
    </row>
    <row r="7" spans="1:4" ht="20" customHeight="1">
      <c r="A7" s="53" t="s">
        <v>88</v>
      </c>
      <c r="B7" s="53">
        <v>2.1</v>
      </c>
      <c r="C7" s="53">
        <v>2.1</v>
      </c>
      <c r="D7" s="53">
        <f t="shared" si="0"/>
        <v>4.2</v>
      </c>
    </row>
    <row r="8" spans="1:4" ht="20" customHeight="1">
      <c r="A8" s="51" t="s">
        <v>89</v>
      </c>
      <c r="B8" s="51">
        <v>2.15</v>
      </c>
      <c r="C8" s="51">
        <v>2.4</v>
      </c>
      <c r="D8" s="51">
        <f t="shared" si="0"/>
        <v>4.55</v>
      </c>
    </row>
    <row r="9" spans="1:4" ht="20" customHeight="1">
      <c r="A9" s="53" t="s">
        <v>90</v>
      </c>
      <c r="B9" s="53">
        <v>2.25</v>
      </c>
      <c r="C9" s="53">
        <v>2.5</v>
      </c>
      <c r="D9" s="53">
        <f t="shared" si="0"/>
        <v>4.75</v>
      </c>
    </row>
    <row r="10" spans="1:4" ht="20" customHeight="1">
      <c r="A10" s="51" t="s">
        <v>91</v>
      </c>
      <c r="B10" s="51">
        <v>2.35</v>
      </c>
      <c r="C10" s="51">
        <v>2.6</v>
      </c>
      <c r="D10" s="51">
        <f t="shared" si="0"/>
        <v>4.95</v>
      </c>
    </row>
    <row r="11" spans="1:4" ht="17" customHeight="1">
      <c r="A11" s="42"/>
      <c r="B11" s="42"/>
      <c r="C11" s="42"/>
      <c r="D11" s="42"/>
    </row>
    <row r="12" spans="1:4" ht="18" customHeight="1">
      <c r="A12" s="42"/>
      <c r="B12" s="42"/>
      <c r="C12" s="42"/>
      <c r="D12" s="42"/>
    </row>
    <row r="13" spans="1:4">
      <c r="A13" s="42"/>
      <c r="B13" s="42"/>
      <c r="C13" s="42"/>
      <c r="D13" s="42"/>
    </row>
    <row r="14" spans="1:4">
      <c r="A14" s="42"/>
      <c r="B14" s="42"/>
      <c r="C14" s="42"/>
      <c r="D14" s="42"/>
    </row>
    <row r="15" spans="1:4">
      <c r="A15" s="42"/>
      <c r="B15" s="42"/>
      <c r="C15" s="42"/>
      <c r="D15" s="42"/>
    </row>
    <row r="16" spans="1:4">
      <c r="A16" s="42"/>
      <c r="B16" s="42"/>
      <c r="C16" s="42"/>
      <c r="D16" s="42"/>
    </row>
    <row r="17" spans="1:4">
      <c r="A17" s="42"/>
      <c r="B17" s="42"/>
      <c r="C17" s="42"/>
      <c r="D17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15"/>
  <sheetViews>
    <sheetView workbookViewId="0">
      <selection activeCell="C3" sqref="C3"/>
    </sheetView>
  </sheetViews>
  <sheetFormatPr baseColWidth="10" defaultRowHeight="16"/>
  <cols>
    <col min="1" max="1" width="29.1640625" customWidth="1"/>
    <col min="2" max="2" width="31.33203125" customWidth="1"/>
    <col min="3" max="3" width="43.5" bestFit="1" customWidth="1"/>
  </cols>
  <sheetData>
    <row r="1" spans="1:4" ht="19" customHeight="1">
      <c r="A1" s="55" t="s">
        <v>93</v>
      </c>
      <c r="B1" s="55" t="s">
        <v>94</v>
      </c>
      <c r="C1" s="8"/>
    </row>
    <row r="2" spans="1:4" ht="20" customHeight="1">
      <c r="A2" s="58">
        <v>44348</v>
      </c>
      <c r="B2" s="59">
        <v>10.199999999999999</v>
      </c>
      <c r="C2" s="8"/>
    </row>
    <row r="3" spans="1:4" ht="20" customHeight="1">
      <c r="A3" s="60">
        <v>44713</v>
      </c>
      <c r="B3" s="61">
        <v>3.8</v>
      </c>
      <c r="C3" s="8"/>
    </row>
    <row r="4" spans="1:4" ht="20" customHeight="1">
      <c r="A4" s="58">
        <v>45078</v>
      </c>
      <c r="B4" s="59">
        <v>2.2999999999999998</v>
      </c>
      <c r="C4" s="8"/>
    </row>
    <row r="5" spans="1:4" ht="20" customHeight="1">
      <c r="A5" s="62">
        <v>45444</v>
      </c>
      <c r="B5" s="63">
        <v>0.9</v>
      </c>
      <c r="C5" s="8"/>
    </row>
    <row r="6" spans="1:4" ht="20" customHeight="1">
      <c r="A6" s="58">
        <v>45809</v>
      </c>
      <c r="B6" s="59">
        <v>1.9</v>
      </c>
      <c r="C6" s="8"/>
    </row>
    <row r="7" spans="1:4" ht="19" customHeight="1">
      <c r="A7" s="64"/>
      <c r="B7" s="65"/>
      <c r="C7" s="8"/>
    </row>
    <row r="8" spans="1:4" ht="19" customHeight="1">
      <c r="A8" s="64" t="s">
        <v>95</v>
      </c>
      <c r="B8" s="66">
        <f>(B3+B4+B5+B6)/4</f>
        <v>2.2250000000000001</v>
      </c>
      <c r="C8" s="56" t="s">
        <v>96</v>
      </c>
      <c r="D8" s="57"/>
    </row>
    <row r="15" spans="1:4" ht="29" customHeight="1">
      <c r="A15" s="9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F8"/>
  <sheetViews>
    <sheetView workbookViewId="0">
      <selection activeCell="G19" sqref="G19"/>
    </sheetView>
  </sheetViews>
  <sheetFormatPr baseColWidth="10" defaultRowHeight="16"/>
  <cols>
    <col min="1" max="1" width="23.5" style="2" bestFit="1" customWidth="1"/>
    <col min="2" max="2" width="29.83203125" bestFit="1" customWidth="1"/>
  </cols>
  <sheetData>
    <row r="1" spans="1:6" ht="22" customHeight="1">
      <c r="A1" s="67" t="s">
        <v>98</v>
      </c>
      <c r="B1" s="68">
        <v>2.88</v>
      </c>
      <c r="C1" s="5"/>
      <c r="D1" s="5"/>
      <c r="E1" s="5"/>
      <c r="F1" s="5"/>
    </row>
    <row r="2" spans="1:6" ht="22" customHeight="1">
      <c r="A2" s="67" t="s">
        <v>99</v>
      </c>
      <c r="B2" s="69">
        <v>0.3</v>
      </c>
      <c r="C2" s="5"/>
      <c r="D2" s="5"/>
      <c r="E2" s="5"/>
      <c r="F2" s="5"/>
    </row>
    <row r="3" spans="1:6" ht="22" customHeight="1">
      <c r="A3" s="67" t="s">
        <v>100</v>
      </c>
      <c r="B3" s="68" t="s">
        <v>101</v>
      </c>
      <c r="C3" s="5"/>
      <c r="D3" s="5"/>
      <c r="E3" s="5"/>
      <c r="F3" s="5"/>
    </row>
    <row r="4" spans="1:6" ht="22" customHeight="1">
      <c r="A4" s="67"/>
      <c r="B4" s="68"/>
      <c r="C4" s="5"/>
      <c r="D4" s="5"/>
      <c r="E4" s="5"/>
      <c r="F4" s="5"/>
    </row>
    <row r="5" spans="1:6" ht="22" customHeight="1">
      <c r="A5" s="67"/>
      <c r="B5" s="68"/>
      <c r="C5" s="5"/>
      <c r="D5" s="5"/>
      <c r="E5" s="5"/>
      <c r="F5" s="5"/>
    </row>
    <row r="6" spans="1:6" ht="22" customHeight="1">
      <c r="A6" s="67"/>
      <c r="B6" s="68"/>
      <c r="C6" s="5"/>
      <c r="D6" s="5"/>
      <c r="E6" s="5"/>
      <c r="F6" s="5"/>
    </row>
    <row r="7" spans="1:6" ht="22" customHeight="1">
      <c r="A7" s="67" t="s">
        <v>102</v>
      </c>
      <c r="B7" s="70">
        <v>174.49</v>
      </c>
      <c r="C7" s="5"/>
      <c r="D7" s="5"/>
      <c r="E7" s="5"/>
      <c r="F7" s="5"/>
    </row>
    <row r="8" spans="1:6" ht="22" customHeight="1">
      <c r="A8" s="28"/>
      <c r="B8" s="29"/>
      <c r="C8" s="5"/>
      <c r="D8" s="5"/>
      <c r="E8" s="5"/>
      <c r="F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H19"/>
  <sheetViews>
    <sheetView zoomScale="108" zoomScaleNormal="108" workbookViewId="0">
      <selection activeCell="C5" sqref="C5"/>
    </sheetView>
  </sheetViews>
  <sheetFormatPr baseColWidth="10" defaultRowHeight="16"/>
  <cols>
    <col min="1" max="1" width="40.33203125" customWidth="1"/>
    <col min="2" max="2" width="41.1640625" customWidth="1"/>
    <col min="8" max="8" width="17.6640625" customWidth="1"/>
  </cols>
  <sheetData>
    <row r="1" spans="1:2" ht="37" customHeight="1">
      <c r="A1" s="75" t="s">
        <v>191</v>
      </c>
    </row>
    <row r="2" spans="1:2" ht="22" customHeight="1"/>
    <row r="3" spans="1:2" ht="41" customHeight="1">
      <c r="A3" s="71" t="s">
        <v>103</v>
      </c>
      <c r="B3" s="71" t="s">
        <v>104</v>
      </c>
    </row>
    <row r="4" spans="1:2" ht="22" customHeight="1">
      <c r="A4" s="77" t="s">
        <v>105</v>
      </c>
      <c r="B4" s="78">
        <v>4.7039999999999997</v>
      </c>
    </row>
    <row r="5" spans="1:2" ht="22" customHeight="1">
      <c r="A5" s="73" t="s">
        <v>106</v>
      </c>
      <c r="B5" s="74">
        <v>4.7270000000000003</v>
      </c>
    </row>
    <row r="6" spans="1:2" ht="22" customHeight="1">
      <c r="A6" s="77" t="s">
        <v>107</v>
      </c>
      <c r="B6" s="78">
        <v>4.7149999999999999</v>
      </c>
    </row>
    <row r="7" spans="1:2" ht="22" customHeight="1">
      <c r="A7" s="73" t="s">
        <v>108</v>
      </c>
      <c r="B7" s="74">
        <v>4.734</v>
      </c>
    </row>
    <row r="8" spans="1:2" ht="22" customHeight="1">
      <c r="A8" s="77" t="s">
        <v>109</v>
      </c>
      <c r="B8" s="78">
        <v>5.0359999999999996</v>
      </c>
    </row>
    <row r="9" spans="1:2" ht="22" customHeight="1">
      <c r="A9" s="73" t="s">
        <v>110</v>
      </c>
      <c r="B9" s="74">
        <v>5.234</v>
      </c>
    </row>
    <row r="10" spans="1:2" ht="22" customHeight="1">
      <c r="A10" s="76" t="s">
        <v>111</v>
      </c>
      <c r="B10" s="76">
        <f>B8</f>
        <v>5.0359999999999996</v>
      </c>
    </row>
    <row r="11" spans="1:2" ht="22" customHeight="1">
      <c r="A11" s="77" t="s">
        <v>112</v>
      </c>
      <c r="B11" s="78" t="s">
        <v>113</v>
      </c>
    </row>
    <row r="12" spans="1:2" ht="22" customHeight="1">
      <c r="A12" s="73" t="s">
        <v>114</v>
      </c>
      <c r="B12" s="74" t="s">
        <v>115</v>
      </c>
    </row>
    <row r="13" spans="1:2" ht="22" customHeight="1">
      <c r="A13" s="5"/>
      <c r="B13" s="5"/>
    </row>
    <row r="19" spans="8:8">
      <c r="H19" s="2" t="s">
        <v>116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E72"/>
  <sheetViews>
    <sheetView topLeftCell="A9" workbookViewId="0">
      <selection activeCell="H6" sqref="H6"/>
    </sheetView>
  </sheetViews>
  <sheetFormatPr baseColWidth="10" defaultRowHeight="16"/>
  <cols>
    <col min="1" max="1" width="21.1640625" customWidth="1"/>
    <col min="2" max="2" width="29.1640625" bestFit="1" customWidth="1"/>
    <col min="3" max="3" width="31.5" style="1" bestFit="1" customWidth="1"/>
    <col min="4" max="4" width="20.5" customWidth="1"/>
    <col min="5" max="5" width="17.83203125" customWidth="1"/>
  </cols>
  <sheetData>
    <row r="1" spans="1:5" s="2" customFormat="1" ht="22" customHeight="1">
      <c r="A1" s="30" t="s">
        <v>117</v>
      </c>
      <c r="B1" s="31" t="s">
        <v>118</v>
      </c>
      <c r="C1" s="32" t="s">
        <v>119</v>
      </c>
      <c r="D1" s="31" t="s">
        <v>120</v>
      </c>
      <c r="E1" s="31" t="s">
        <v>121</v>
      </c>
    </row>
    <row r="2" spans="1:5" s="2" customFormat="1" ht="22" customHeight="1">
      <c r="A2" s="79" t="s">
        <v>77</v>
      </c>
      <c r="B2" s="80" t="s">
        <v>122</v>
      </c>
      <c r="C2" s="81" t="s">
        <v>123</v>
      </c>
      <c r="D2" s="80" t="s">
        <v>124</v>
      </c>
      <c r="E2" s="80" t="s">
        <v>125</v>
      </c>
    </row>
    <row r="3" spans="1:5" ht="22" customHeight="1">
      <c r="A3" s="82">
        <v>44317</v>
      </c>
      <c r="B3" s="83">
        <v>83.14</v>
      </c>
      <c r="C3" s="84">
        <v>7161.6</v>
      </c>
      <c r="D3" s="72"/>
      <c r="E3" s="72"/>
    </row>
    <row r="4" spans="1:5" ht="22" customHeight="1">
      <c r="A4" s="82">
        <v>44348</v>
      </c>
      <c r="B4" s="83">
        <v>83.26</v>
      </c>
      <c r="C4" s="84">
        <v>7313</v>
      </c>
      <c r="D4" s="85">
        <f t="shared" ref="D4:D35" si="0">LN(B4/B3)</f>
        <v>1.442307942337997E-3</v>
      </c>
      <c r="E4" s="85">
        <f t="shared" ref="E4:E35" si="1">LN(C4/C3)</f>
        <v>2.0920166593399649E-2</v>
      </c>
    </row>
    <row r="5" spans="1:5" ht="22" customHeight="1">
      <c r="A5" s="82">
        <v>44378</v>
      </c>
      <c r="B5" s="83">
        <v>83.08</v>
      </c>
      <c r="C5" s="84">
        <v>7392.6</v>
      </c>
      <c r="D5" s="85">
        <f t="shared" si="0"/>
        <v>-2.164242758917904E-3</v>
      </c>
      <c r="E5" s="85">
        <f t="shared" si="1"/>
        <v>1.0825913587726504E-2</v>
      </c>
    </row>
    <row r="6" spans="1:5" ht="22" customHeight="1">
      <c r="A6" s="82">
        <v>44409</v>
      </c>
      <c r="B6" s="83">
        <v>83.47</v>
      </c>
      <c r="C6" s="84">
        <v>7534.9</v>
      </c>
      <c r="D6" s="85">
        <f t="shared" si="0"/>
        <v>4.6832868547337109E-3</v>
      </c>
      <c r="E6" s="85">
        <f t="shared" si="1"/>
        <v>1.9066060713719558E-2</v>
      </c>
    </row>
    <row r="7" spans="1:5" ht="22" customHeight="1">
      <c r="A7" s="82">
        <v>44440</v>
      </c>
      <c r="B7" s="83">
        <v>88.71</v>
      </c>
      <c r="C7" s="84">
        <v>7332.2</v>
      </c>
      <c r="D7" s="85">
        <f t="shared" si="0"/>
        <v>6.0885336669850257E-2</v>
      </c>
      <c r="E7" s="85">
        <f t="shared" si="1"/>
        <v>-2.7269953297978849E-2</v>
      </c>
    </row>
    <row r="8" spans="1:5" ht="22" customHeight="1">
      <c r="A8" s="82">
        <v>44470</v>
      </c>
      <c r="B8" s="83">
        <v>89.01</v>
      </c>
      <c r="C8" s="84">
        <v>7323.7</v>
      </c>
      <c r="D8" s="85">
        <f t="shared" si="0"/>
        <v>3.376100438344797E-3</v>
      </c>
      <c r="E8" s="85">
        <f t="shared" si="1"/>
        <v>-1.1599425423261026E-3</v>
      </c>
    </row>
    <row r="9" spans="1:5" ht="22" customHeight="1">
      <c r="A9" s="82">
        <v>44501</v>
      </c>
      <c r="B9" s="83">
        <v>79.23</v>
      </c>
      <c r="C9" s="84">
        <v>7256</v>
      </c>
      <c r="D9" s="85">
        <f t="shared" si="0"/>
        <v>-0.11639370799368955</v>
      </c>
      <c r="E9" s="85">
        <f t="shared" si="1"/>
        <v>-9.2869519371198018E-3</v>
      </c>
    </row>
    <row r="10" spans="1:5" ht="22" customHeight="1">
      <c r="A10" s="82">
        <v>44531</v>
      </c>
      <c r="B10" s="83">
        <v>85.88</v>
      </c>
      <c r="C10" s="84">
        <v>7444.6</v>
      </c>
      <c r="D10" s="85">
        <f t="shared" si="0"/>
        <v>8.0595958033429671E-2</v>
      </c>
      <c r="E10" s="85">
        <f t="shared" si="1"/>
        <v>2.5660224545990932E-2</v>
      </c>
    </row>
    <row r="11" spans="1:5" ht="22" customHeight="1">
      <c r="A11" s="82">
        <v>44562</v>
      </c>
      <c r="B11" s="83">
        <v>79.709999999999994</v>
      </c>
      <c r="C11" s="84">
        <v>6971.6</v>
      </c>
      <c r="D11" s="85">
        <f t="shared" si="0"/>
        <v>-7.45559245707485E-2</v>
      </c>
      <c r="E11" s="85">
        <f t="shared" si="1"/>
        <v>-6.5644183693436886E-2</v>
      </c>
    </row>
    <row r="12" spans="1:5" ht="22" customHeight="1">
      <c r="A12" s="82">
        <v>44593</v>
      </c>
      <c r="B12" s="83">
        <v>79.47</v>
      </c>
      <c r="C12" s="84">
        <v>7049.1</v>
      </c>
      <c r="D12" s="85">
        <f t="shared" si="0"/>
        <v>-3.0154564877437062E-3</v>
      </c>
      <c r="E12" s="85">
        <f t="shared" si="1"/>
        <v>1.1055195435142639E-2</v>
      </c>
    </row>
    <row r="13" spans="1:5" ht="22" customHeight="1">
      <c r="A13" s="82">
        <v>44621</v>
      </c>
      <c r="B13" s="83">
        <v>91.54</v>
      </c>
      <c r="C13" s="84">
        <v>7499.6</v>
      </c>
      <c r="D13" s="85">
        <f t="shared" si="0"/>
        <v>0.14139644327340808</v>
      </c>
      <c r="E13" s="85">
        <f t="shared" si="1"/>
        <v>6.1949736686126453E-2</v>
      </c>
    </row>
    <row r="14" spans="1:5" ht="22" customHeight="1">
      <c r="A14" s="82">
        <v>44652</v>
      </c>
      <c r="B14" s="83">
        <v>89.91</v>
      </c>
      <c r="C14" s="84">
        <v>7435</v>
      </c>
      <c r="D14" s="85">
        <f t="shared" si="0"/>
        <v>-1.7966865228814615E-2</v>
      </c>
      <c r="E14" s="85">
        <f t="shared" si="1"/>
        <v>-8.6511058745402485E-3</v>
      </c>
    </row>
    <row r="15" spans="1:5" ht="22" customHeight="1">
      <c r="A15" s="82">
        <v>44682</v>
      </c>
      <c r="B15" s="83">
        <v>90.32</v>
      </c>
      <c r="C15" s="84">
        <v>7211.2</v>
      </c>
      <c r="D15" s="85">
        <f t="shared" si="0"/>
        <v>4.5497498447249788E-3</v>
      </c>
      <c r="E15" s="85">
        <f t="shared" si="1"/>
        <v>-3.0563206957871656E-2</v>
      </c>
    </row>
    <row r="16" spans="1:5" ht="22" customHeight="1">
      <c r="A16" s="82">
        <v>44713</v>
      </c>
      <c r="B16" s="83">
        <v>78.22</v>
      </c>
      <c r="C16" s="84">
        <v>6568.1</v>
      </c>
      <c r="D16" s="85">
        <f t="shared" si="0"/>
        <v>-0.1438335505140384</v>
      </c>
      <c r="E16" s="85">
        <f t="shared" si="1"/>
        <v>-9.3410775585066413E-2</v>
      </c>
    </row>
    <row r="17" spans="1:5" ht="22" customHeight="1">
      <c r="A17" s="82">
        <v>44743</v>
      </c>
      <c r="B17" s="83">
        <v>87.22</v>
      </c>
      <c r="C17" s="84">
        <v>6945.2</v>
      </c>
      <c r="D17" s="85">
        <f t="shared" si="0"/>
        <v>0.10890829308725235</v>
      </c>
      <c r="E17" s="85">
        <f t="shared" si="1"/>
        <v>5.5826176118665354E-2</v>
      </c>
    </row>
    <row r="18" spans="1:5" ht="22" customHeight="1">
      <c r="A18" s="82">
        <v>44774</v>
      </c>
      <c r="B18" s="83">
        <v>84.36</v>
      </c>
      <c r="C18" s="84">
        <v>6986.8</v>
      </c>
      <c r="D18" s="85">
        <f t="shared" si="0"/>
        <v>-3.3340306804046538E-2</v>
      </c>
      <c r="E18" s="85">
        <f t="shared" si="1"/>
        <v>5.9718810842549919E-3</v>
      </c>
    </row>
    <row r="19" spans="1:5" ht="22" customHeight="1">
      <c r="A19" s="82">
        <v>44805</v>
      </c>
      <c r="B19" s="83">
        <v>80.16</v>
      </c>
      <c r="C19" s="84">
        <v>6474.2</v>
      </c>
      <c r="D19" s="85">
        <f t="shared" si="0"/>
        <v>-5.1068718274019223E-2</v>
      </c>
      <c r="E19" s="85">
        <f t="shared" si="1"/>
        <v>-7.6197606743243773E-2</v>
      </c>
    </row>
    <row r="20" spans="1:5" ht="22" customHeight="1">
      <c r="A20" s="82">
        <v>44835</v>
      </c>
      <c r="B20" s="83">
        <v>92.52</v>
      </c>
      <c r="C20" s="84">
        <v>6863.5</v>
      </c>
      <c r="D20" s="85">
        <f t="shared" si="0"/>
        <v>0.14340020002668369</v>
      </c>
      <c r="E20" s="85">
        <f t="shared" si="1"/>
        <v>5.8392467880720327E-2</v>
      </c>
    </row>
    <row r="21" spans="1:5" ht="22" customHeight="1">
      <c r="A21" s="82">
        <v>44866</v>
      </c>
      <c r="B21" s="83">
        <v>95.33</v>
      </c>
      <c r="C21" s="84">
        <v>7284.2</v>
      </c>
      <c r="D21" s="85">
        <f t="shared" si="0"/>
        <v>2.9919719142248457E-2</v>
      </c>
      <c r="E21" s="85">
        <f t="shared" si="1"/>
        <v>5.9490103219802089E-2</v>
      </c>
    </row>
    <row r="22" spans="1:5" ht="22" customHeight="1">
      <c r="A22" s="82">
        <v>44896</v>
      </c>
      <c r="B22" s="83">
        <v>90.68</v>
      </c>
      <c r="C22" s="84">
        <v>7038.7</v>
      </c>
      <c r="D22" s="85">
        <f t="shared" si="0"/>
        <v>-5.0007730866158423E-2</v>
      </c>
      <c r="E22" s="85">
        <f t="shared" si="1"/>
        <v>-3.4284124901926533E-2</v>
      </c>
    </row>
    <row r="23" spans="1:5" ht="22" customHeight="1">
      <c r="A23" s="82">
        <v>44927</v>
      </c>
      <c r="B23" s="83">
        <v>97.27</v>
      </c>
      <c r="C23" s="84">
        <v>7476.7</v>
      </c>
      <c r="D23" s="85">
        <f t="shared" si="0"/>
        <v>7.0153791242020661E-2</v>
      </c>
      <c r="E23" s="85">
        <f t="shared" si="1"/>
        <v>6.0368024141373225E-2</v>
      </c>
    </row>
    <row r="24" spans="1:5" ht="22" customHeight="1">
      <c r="A24" s="82">
        <v>44958</v>
      </c>
      <c r="B24" s="83">
        <v>88.99</v>
      </c>
      <c r="C24" s="84">
        <v>7258.4</v>
      </c>
      <c r="D24" s="85">
        <f t="shared" si="0"/>
        <v>-8.8966613012578077E-2</v>
      </c>
      <c r="E24" s="85">
        <f t="shared" si="1"/>
        <v>-2.9632099295543887E-2</v>
      </c>
    </row>
    <row r="25" spans="1:5" ht="22" customHeight="1">
      <c r="A25" s="82">
        <v>44986</v>
      </c>
      <c r="B25" s="83">
        <v>88.73</v>
      </c>
      <c r="C25" s="84">
        <v>7177.8</v>
      </c>
      <c r="D25" s="85">
        <f t="shared" si="0"/>
        <v>-2.9259530215243125E-3</v>
      </c>
      <c r="E25" s="85">
        <f t="shared" si="1"/>
        <v>-1.1166489450505548E-2</v>
      </c>
    </row>
    <row r="26" spans="1:5" ht="22" customHeight="1">
      <c r="A26" s="82">
        <v>45017</v>
      </c>
      <c r="B26" s="83">
        <v>89.67</v>
      </c>
      <c r="C26" s="84">
        <v>7309.2</v>
      </c>
      <c r="D26" s="85">
        <f t="shared" si="0"/>
        <v>1.0538214116709719E-2</v>
      </c>
      <c r="E26" s="85">
        <f t="shared" si="1"/>
        <v>1.814089922552568E-2</v>
      </c>
    </row>
    <row r="27" spans="1:5" ht="22" customHeight="1">
      <c r="A27" s="82">
        <v>45047</v>
      </c>
      <c r="B27" s="83">
        <v>87.34</v>
      </c>
      <c r="C27" s="84">
        <v>7091.3</v>
      </c>
      <c r="D27" s="85">
        <f t="shared" si="0"/>
        <v>-2.6327716906541312E-2</v>
      </c>
      <c r="E27" s="85">
        <f t="shared" si="1"/>
        <v>-3.0265148071456381E-2</v>
      </c>
    </row>
    <row r="28" spans="1:5" ht="22" customHeight="1">
      <c r="A28" s="82">
        <v>45078</v>
      </c>
      <c r="B28" s="83">
        <v>90.49</v>
      </c>
      <c r="C28" s="84">
        <v>7203.3</v>
      </c>
      <c r="D28" s="85">
        <f t="shared" si="0"/>
        <v>3.5430799305626967E-2</v>
      </c>
      <c r="E28" s="85">
        <f t="shared" si="1"/>
        <v>1.5670573775857885E-2</v>
      </c>
    </row>
    <row r="29" spans="1:5" ht="22" customHeight="1">
      <c r="A29" s="82">
        <v>45108</v>
      </c>
      <c r="B29" s="83">
        <v>95.4</v>
      </c>
      <c r="C29" s="84">
        <v>7410.4</v>
      </c>
      <c r="D29" s="85">
        <f t="shared" si="0"/>
        <v>5.283923109119909E-2</v>
      </c>
      <c r="E29" s="85">
        <f t="shared" si="1"/>
        <v>2.8345164604976981E-2</v>
      </c>
    </row>
    <row r="30" spans="1:5" ht="22" customHeight="1">
      <c r="A30" s="82">
        <v>45139</v>
      </c>
      <c r="B30" s="83">
        <v>92.21</v>
      </c>
      <c r="C30" s="84">
        <v>7305.3</v>
      </c>
      <c r="D30" s="85">
        <f t="shared" si="0"/>
        <v>-3.4009993903191094E-2</v>
      </c>
      <c r="E30" s="85">
        <f t="shared" si="1"/>
        <v>-1.4284306836468237E-2</v>
      </c>
    </row>
    <row r="31" spans="1:5" ht="22" customHeight="1">
      <c r="A31" s="82">
        <v>45170</v>
      </c>
      <c r="B31" s="83">
        <v>92.36</v>
      </c>
      <c r="C31" s="84">
        <v>7048.6</v>
      </c>
      <c r="D31" s="85">
        <f t="shared" si="0"/>
        <v>1.6253999352446992E-3</v>
      </c>
      <c r="E31" s="85">
        <f t="shared" si="1"/>
        <v>-3.577109657724744E-2</v>
      </c>
    </row>
    <row r="32" spans="1:5" ht="22" customHeight="1">
      <c r="A32" s="82">
        <v>45200</v>
      </c>
      <c r="B32" s="83">
        <v>89.21</v>
      </c>
      <c r="C32" s="84">
        <v>6780.7</v>
      </c>
      <c r="D32" s="85">
        <f t="shared" si="0"/>
        <v>-3.4700843560602601E-2</v>
      </c>
      <c r="E32" s="85">
        <f t="shared" si="1"/>
        <v>-3.8748674083284029E-2</v>
      </c>
    </row>
    <row r="33" spans="1:5" ht="22" customHeight="1">
      <c r="A33" s="82">
        <v>45231</v>
      </c>
      <c r="B33" s="83">
        <v>96.69</v>
      </c>
      <c r="C33" s="84">
        <v>7087.3</v>
      </c>
      <c r="D33" s="85">
        <f t="shared" si="0"/>
        <v>8.0516843569764088E-2</v>
      </c>
      <c r="E33" s="85">
        <f t="shared" si="1"/>
        <v>4.4224108500149378E-2</v>
      </c>
    </row>
    <row r="34" spans="1:5" ht="22" customHeight="1">
      <c r="A34" s="82">
        <v>45261</v>
      </c>
      <c r="B34" s="83">
        <v>103.29</v>
      </c>
      <c r="C34" s="84">
        <v>7590.8</v>
      </c>
      <c r="D34" s="85">
        <f t="shared" si="0"/>
        <v>6.6030581523086024E-2</v>
      </c>
      <c r="E34" s="85">
        <f t="shared" si="1"/>
        <v>6.8632537736856375E-2</v>
      </c>
    </row>
    <row r="35" spans="1:5" ht="22" customHeight="1">
      <c r="A35" s="82">
        <v>45292</v>
      </c>
      <c r="B35" s="83">
        <v>108.58</v>
      </c>
      <c r="C35" s="84">
        <v>7680.7</v>
      </c>
      <c r="D35" s="85">
        <f t="shared" si="0"/>
        <v>4.9946662458762794E-2</v>
      </c>
      <c r="E35" s="85">
        <f t="shared" si="1"/>
        <v>1.1773701141698392E-2</v>
      </c>
    </row>
    <row r="36" spans="1:5" ht="22" customHeight="1">
      <c r="A36" s="82">
        <v>45323</v>
      </c>
      <c r="B36" s="83">
        <v>107.55</v>
      </c>
      <c r="C36" s="84">
        <v>7698.7</v>
      </c>
      <c r="D36" s="85">
        <f t="shared" ref="D36:D62" si="2">LN(B36/B35)</f>
        <v>-9.5313727635659793E-3</v>
      </c>
      <c r="E36" s="85">
        <f t="shared" ref="E36:E62" si="3">LN(C36/C35)</f>
        <v>2.3407945978357932E-3</v>
      </c>
    </row>
    <row r="37" spans="1:5" ht="22" customHeight="1">
      <c r="A37" s="82">
        <v>45352</v>
      </c>
      <c r="B37" s="83">
        <v>113.26</v>
      </c>
      <c r="C37" s="84">
        <v>7896.9</v>
      </c>
      <c r="D37" s="85">
        <f t="shared" si="2"/>
        <v>5.1730204971920032E-2</v>
      </c>
      <c r="E37" s="85">
        <f t="shared" si="3"/>
        <v>2.5418793961449988E-2</v>
      </c>
    </row>
    <row r="38" spans="1:5" ht="22" customHeight="1">
      <c r="A38" s="82">
        <v>45383</v>
      </c>
      <c r="B38" s="83">
        <v>107.8</v>
      </c>
      <c r="C38" s="84">
        <v>7664.1</v>
      </c>
      <c r="D38" s="85">
        <f t="shared" si="2"/>
        <v>-4.9408402210762259E-2</v>
      </c>
      <c r="E38" s="85">
        <f t="shared" si="3"/>
        <v>-2.992318879853445E-2</v>
      </c>
    </row>
    <row r="39" spans="1:5" ht="22" customHeight="1">
      <c r="A39" s="82">
        <v>45413</v>
      </c>
      <c r="B39" s="83">
        <v>112.51</v>
      </c>
      <c r="C39" s="84">
        <v>7701.7</v>
      </c>
      <c r="D39" s="85">
        <f t="shared" si="2"/>
        <v>4.276444810808383E-2</v>
      </c>
      <c r="E39" s="85">
        <f t="shared" si="3"/>
        <v>4.8939951121354588E-3</v>
      </c>
    </row>
    <row r="40" spans="1:5" ht="22" customHeight="1">
      <c r="A40" s="82">
        <v>45444</v>
      </c>
      <c r="B40" s="83">
        <v>119.89</v>
      </c>
      <c r="C40" s="84">
        <v>7767.5</v>
      </c>
      <c r="D40" s="85">
        <f t="shared" si="2"/>
        <v>6.3532549136581698E-2</v>
      </c>
      <c r="E40" s="85">
        <f t="shared" si="3"/>
        <v>8.5072785727935731E-3</v>
      </c>
    </row>
    <row r="41" spans="1:5" ht="22" customHeight="1">
      <c r="A41" s="82">
        <v>45474</v>
      </c>
      <c r="B41" s="83">
        <v>129.4</v>
      </c>
      <c r="C41" s="84">
        <v>8092.3</v>
      </c>
      <c r="D41" s="85">
        <f t="shared" si="2"/>
        <v>7.6333726347237979E-2</v>
      </c>
      <c r="E41" s="85">
        <f t="shared" si="3"/>
        <v>4.096462998621344E-2</v>
      </c>
    </row>
    <row r="42" spans="1:5" ht="22" customHeight="1">
      <c r="A42" s="82">
        <v>45505</v>
      </c>
      <c r="B42" s="83">
        <v>131.30000000000001</v>
      </c>
      <c r="C42" s="84">
        <v>8091.9</v>
      </c>
      <c r="D42" s="85">
        <f t="shared" si="2"/>
        <v>1.4576399241950389E-2</v>
      </c>
      <c r="E42" s="85">
        <f t="shared" si="3"/>
        <v>-4.9430926469283594E-5</v>
      </c>
    </row>
    <row r="43" spans="1:5" ht="22" customHeight="1">
      <c r="A43" s="82">
        <v>45536</v>
      </c>
      <c r="B43" s="83">
        <v>129.75</v>
      </c>
      <c r="C43" s="84">
        <v>8269.7999999999993</v>
      </c>
      <c r="D43" s="85">
        <f t="shared" si="2"/>
        <v>-1.187525926275252E-2</v>
      </c>
      <c r="E43" s="85">
        <f t="shared" si="3"/>
        <v>2.1746763601501524E-2</v>
      </c>
    </row>
    <row r="44" spans="1:5" ht="22" customHeight="1">
      <c r="A44" s="82">
        <v>45566</v>
      </c>
      <c r="B44" s="83">
        <v>136.80000000000001</v>
      </c>
      <c r="C44" s="84">
        <v>8160</v>
      </c>
      <c r="D44" s="85">
        <f t="shared" si="2"/>
        <v>5.2910483142452197E-2</v>
      </c>
      <c r="E44" s="85">
        <f t="shared" si="3"/>
        <v>-1.3366155970295363E-2</v>
      </c>
    </row>
    <row r="45" spans="1:5" ht="22" customHeight="1">
      <c r="A45" s="82">
        <v>45597</v>
      </c>
      <c r="B45" s="83">
        <v>151.97999999999999</v>
      </c>
      <c r="C45" s="84">
        <v>8436.2000000000007</v>
      </c>
      <c r="D45" s="85">
        <f t="shared" si="2"/>
        <v>0.10522892805318852</v>
      </c>
      <c r="E45" s="85">
        <f t="shared" si="3"/>
        <v>3.3287801277929102E-2</v>
      </c>
    </row>
    <row r="46" spans="1:5" ht="22" customHeight="1">
      <c r="A46" s="82">
        <v>45627</v>
      </c>
      <c r="B46" s="83">
        <v>146.87</v>
      </c>
      <c r="C46" s="84">
        <v>8159.1</v>
      </c>
      <c r="D46" s="85">
        <f t="shared" si="2"/>
        <v>-3.4201091475867682E-2</v>
      </c>
      <c r="E46" s="85">
        <f t="shared" si="3"/>
        <v>-3.3398101478419602E-2</v>
      </c>
    </row>
    <row r="47" spans="1:5" ht="22" customHeight="1">
      <c r="A47" s="82">
        <v>45658</v>
      </c>
      <c r="B47" s="83">
        <v>153.87</v>
      </c>
      <c r="C47" s="84">
        <v>8532.2999999999993</v>
      </c>
      <c r="D47" s="85">
        <f t="shared" si="2"/>
        <v>4.6560248303515642E-2</v>
      </c>
      <c r="E47" s="85">
        <f t="shared" si="3"/>
        <v>4.472509295944177E-2</v>
      </c>
    </row>
    <row r="48" spans="1:5" ht="22" customHeight="1">
      <c r="A48" s="82">
        <v>45689</v>
      </c>
      <c r="B48" s="83">
        <v>150.21</v>
      </c>
      <c r="C48" s="84">
        <v>8172.4</v>
      </c>
      <c r="D48" s="85">
        <f t="shared" si="2"/>
        <v>-2.4073775059323684E-2</v>
      </c>
      <c r="E48" s="85">
        <f t="shared" si="3"/>
        <v>-4.3096338351447147E-2</v>
      </c>
    </row>
    <row r="49" spans="1:5" ht="22" customHeight="1">
      <c r="A49" s="82">
        <v>45717</v>
      </c>
      <c r="B49" s="83">
        <v>146.66999999999999</v>
      </c>
      <c r="C49" s="84">
        <v>7843.4</v>
      </c>
      <c r="D49" s="85">
        <f t="shared" si="2"/>
        <v>-2.3849149751299308E-2</v>
      </c>
      <c r="E49" s="85">
        <f t="shared" si="3"/>
        <v>-4.109020956097606E-2</v>
      </c>
    </row>
    <row r="50" spans="1:5" ht="22" customHeight="1">
      <c r="A50" s="82">
        <v>45748</v>
      </c>
      <c r="B50" s="83">
        <v>161.9</v>
      </c>
      <c r="C50" s="84">
        <v>8126.2</v>
      </c>
      <c r="D50" s="85">
        <f t="shared" si="2"/>
        <v>9.8793695424925596E-2</v>
      </c>
      <c r="E50" s="85">
        <f t="shared" si="3"/>
        <v>3.5420995795514665E-2</v>
      </c>
    </row>
    <row r="51" spans="1:5" ht="22" customHeight="1">
      <c r="A51" s="82">
        <v>45778</v>
      </c>
      <c r="B51" s="83">
        <v>170.99</v>
      </c>
      <c r="C51" s="84">
        <v>8434.7000000000007</v>
      </c>
      <c r="D51" s="85">
        <f t="shared" si="2"/>
        <v>5.4626214576912135E-2</v>
      </c>
      <c r="E51" s="85">
        <f t="shared" si="3"/>
        <v>3.726073965372742E-2</v>
      </c>
    </row>
    <row r="52" spans="1:5" ht="22" customHeight="1">
      <c r="A52" s="82">
        <v>45809</v>
      </c>
      <c r="B52" s="83">
        <v>179.54</v>
      </c>
      <c r="C52" s="84">
        <v>8542.2999999999993</v>
      </c>
      <c r="D52" s="85">
        <f t="shared" si="2"/>
        <v>4.879294906804061E-2</v>
      </c>
      <c r="E52" s="85">
        <f t="shared" si="3"/>
        <v>1.2676143111435926E-2</v>
      </c>
    </row>
    <row r="53" spans="1:5" ht="22" customHeight="1">
      <c r="A53" s="82">
        <v>45839</v>
      </c>
      <c r="B53" s="83">
        <v>172.89</v>
      </c>
      <c r="C53" s="84">
        <v>8742.7999999999993</v>
      </c>
      <c r="D53" s="85">
        <f t="shared" si="2"/>
        <v>-3.7742470211857823E-2</v>
      </c>
      <c r="E53" s="85">
        <f t="shared" si="3"/>
        <v>2.3200212110673496E-2</v>
      </c>
    </row>
    <row r="54" spans="1:5" ht="22" customHeight="1">
      <c r="A54" s="82">
        <v>45870</v>
      </c>
      <c r="B54" s="83">
        <v>165.5</v>
      </c>
      <c r="C54" s="84">
        <v>8973.1</v>
      </c>
      <c r="D54" s="85">
        <f t="shared" si="2"/>
        <v>-4.3684359299567037E-2</v>
      </c>
      <c r="E54" s="85">
        <f t="shared" si="3"/>
        <v>2.6000708304670841E-2</v>
      </c>
    </row>
    <row r="55" spans="1:5" ht="22" customHeight="1">
      <c r="A55" s="82">
        <v>45901</v>
      </c>
      <c r="B55" s="83">
        <v>164.7</v>
      </c>
      <c r="C55" s="84">
        <v>8848.7999999999993</v>
      </c>
      <c r="D55" s="85">
        <f t="shared" si="2"/>
        <v>-4.8455576335230009E-3</v>
      </c>
      <c r="E55" s="85">
        <f t="shared" si="3"/>
        <v>-1.394935619265871E-2</v>
      </c>
    </row>
    <row r="56" spans="1:5" ht="22" customHeight="1">
      <c r="A56" s="82">
        <v>45931</v>
      </c>
      <c r="B56" s="83">
        <v>169.37</v>
      </c>
      <c r="C56" s="84">
        <v>8881.9</v>
      </c>
      <c r="D56" s="85">
        <f t="shared" si="2"/>
        <v>2.7960033719435444E-2</v>
      </c>
      <c r="E56" s="85">
        <f t="shared" si="3"/>
        <v>3.7336414751109361E-3</v>
      </c>
    </row>
    <row r="57" spans="1:5" ht="22" customHeight="1">
      <c r="A57" s="82">
        <v>45962</v>
      </c>
      <c r="B57" s="83">
        <v>150.5</v>
      </c>
      <c r="C57" s="84">
        <v>8614.1</v>
      </c>
      <c r="D57" s="85">
        <f t="shared" si="2"/>
        <v>-0.11812258671409957</v>
      </c>
      <c r="E57" s="85">
        <f t="shared" si="3"/>
        <v>-3.0615102507892813E-2</v>
      </c>
    </row>
    <row r="58" spans="1:5" ht="22" customHeight="1">
      <c r="A58" s="82">
        <v>45992</v>
      </c>
      <c r="B58" s="83">
        <v>158.44999999999999</v>
      </c>
      <c r="C58" s="84">
        <v>8714.2999999999993</v>
      </c>
      <c r="D58" s="85">
        <f t="shared" si="2"/>
        <v>5.1476001947999353E-2</v>
      </c>
      <c r="E58" s="85">
        <f t="shared" si="3"/>
        <v>1.1564958887790903E-2</v>
      </c>
    </row>
    <row r="59" spans="1:5" ht="22" customHeight="1">
      <c r="A59" s="82">
        <v>46023</v>
      </c>
      <c r="B59" s="83">
        <v>147.38999999999999</v>
      </c>
      <c r="C59" s="84">
        <v>8869.1</v>
      </c>
      <c r="D59" s="85">
        <f t="shared" si="2"/>
        <v>-7.2356951288263235E-2</v>
      </c>
      <c r="E59" s="85">
        <f t="shared" si="3"/>
        <v>1.7607971098157309E-2</v>
      </c>
    </row>
    <row r="60" spans="1:5" ht="22" customHeight="1">
      <c r="A60" s="82">
        <v>46054</v>
      </c>
      <c r="B60" s="83">
        <v>172.32</v>
      </c>
      <c r="C60" s="84">
        <v>9198.6</v>
      </c>
      <c r="D60" s="85">
        <f t="shared" si="2"/>
        <v>0.156271078559412</v>
      </c>
      <c r="E60" s="85">
        <f t="shared" si="3"/>
        <v>3.6477973003252798E-2</v>
      </c>
    </row>
    <row r="61" spans="1:5" ht="22" customHeight="1">
      <c r="A61" s="82">
        <v>46082</v>
      </c>
      <c r="B61" s="83">
        <v>167.7</v>
      </c>
      <c r="C61" s="84">
        <v>8481.7999999999993</v>
      </c>
      <c r="D61" s="85">
        <f t="shared" si="2"/>
        <v>-2.7176544578915308E-2</v>
      </c>
      <c r="E61" s="85">
        <f t="shared" si="3"/>
        <v>-8.1128607132419039E-2</v>
      </c>
    </row>
    <row r="62" spans="1:5" ht="22" customHeight="1">
      <c r="A62" s="82">
        <v>46113</v>
      </c>
      <c r="B62" s="83">
        <v>174.49</v>
      </c>
      <c r="C62" s="84">
        <v>8786.5</v>
      </c>
      <c r="D62" s="85">
        <f t="shared" si="2"/>
        <v>3.9690764580975577E-2</v>
      </c>
      <c r="E62" s="85">
        <f t="shared" si="3"/>
        <v>3.5293761222856199E-2</v>
      </c>
    </row>
    <row r="63" spans="1:5" ht="19" customHeight="1">
      <c r="A63" s="72"/>
      <c r="B63" s="72"/>
      <c r="C63" s="86"/>
      <c r="D63" s="72"/>
      <c r="E63" s="72"/>
    </row>
    <row r="64" spans="1:5" ht="22">
      <c r="A64" s="20"/>
      <c r="B64" s="33" t="s">
        <v>126</v>
      </c>
      <c r="C64" s="34">
        <f>SLOPE(D4:D62,E4:E62)</f>
        <v>1.238438944035229</v>
      </c>
      <c r="D64" s="20"/>
      <c r="E64" s="20"/>
    </row>
    <row r="65" spans="1:5" ht="22" customHeight="1">
      <c r="A65" s="20"/>
      <c r="B65" s="33" t="s">
        <v>127</v>
      </c>
      <c r="C65" s="35">
        <f>_xlfn.COVARIANCE.S(D4:D62,E4:E62)/_xlfn.VAR.S(E4:E62)</f>
        <v>1.238438944035229</v>
      </c>
      <c r="D65" s="20"/>
      <c r="E65" s="20"/>
    </row>
    <row r="66" spans="1:5" ht="22" customHeight="1">
      <c r="A66" s="20"/>
      <c r="B66" s="33"/>
      <c r="C66" s="35"/>
      <c r="D66" s="20"/>
      <c r="E66" s="20"/>
    </row>
    <row r="67" spans="1:5" ht="22" customHeight="1">
      <c r="A67" s="20"/>
      <c r="B67" s="33"/>
      <c r="C67" s="35"/>
      <c r="D67" s="20"/>
      <c r="E67" s="20"/>
    </row>
    <row r="68" spans="1:5" ht="22" customHeight="1">
      <c r="A68" s="20"/>
      <c r="B68" s="33" t="s">
        <v>128</v>
      </c>
      <c r="C68" s="35">
        <v>2.88</v>
      </c>
      <c r="D68" s="20"/>
      <c r="E68" s="20"/>
    </row>
    <row r="69" spans="1:5" ht="22" customHeight="1">
      <c r="A69" s="20"/>
      <c r="B69" s="33" t="s">
        <v>129</v>
      </c>
      <c r="C69" s="35">
        <v>0.3</v>
      </c>
      <c r="D69" s="20"/>
      <c r="E69" s="20"/>
    </row>
    <row r="70" spans="1:5" ht="22" customHeight="1">
      <c r="A70" s="20"/>
      <c r="B70" s="33" t="s">
        <v>100</v>
      </c>
      <c r="C70" s="35" t="s">
        <v>101</v>
      </c>
      <c r="D70" s="20"/>
      <c r="E70" s="20"/>
    </row>
    <row r="71" spans="1:5" ht="22" customHeight="1">
      <c r="A71" s="20"/>
      <c r="B71" s="33"/>
      <c r="C71" s="35"/>
      <c r="D71" s="20"/>
      <c r="E71" s="20"/>
    </row>
    <row r="72" spans="1:5" ht="22" customHeight="1">
      <c r="A72" s="20"/>
      <c r="B72" s="33" t="s">
        <v>130</v>
      </c>
      <c r="C72" s="35">
        <f>C65/(1+(1-C69)*C68)</f>
        <v>0.41062299205412101</v>
      </c>
      <c r="D72" s="20"/>
      <c r="E72" s="20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K61"/>
  <sheetViews>
    <sheetView workbookViewId="0">
      <selection activeCell="O4" sqref="O4"/>
    </sheetView>
  </sheetViews>
  <sheetFormatPr baseColWidth="10" defaultRowHeight="16"/>
  <cols>
    <col min="1" max="1" width="13" style="2" bestFit="1" customWidth="1"/>
    <col min="2" max="2" width="15" customWidth="1"/>
    <col min="3" max="3" width="16.5" customWidth="1"/>
    <col min="4" max="4" width="14.1640625" customWidth="1"/>
    <col min="5" max="5" width="16.1640625" customWidth="1"/>
    <col min="6" max="6" width="14.33203125" customWidth="1"/>
    <col min="7" max="7" width="15.83203125" customWidth="1"/>
    <col min="8" max="8" width="15.1640625" customWidth="1"/>
    <col min="9" max="9" width="17.1640625" customWidth="1"/>
    <col min="10" max="10" width="14.6640625" customWidth="1"/>
    <col min="11" max="11" width="15.5" customWidth="1"/>
  </cols>
  <sheetData>
    <row r="1" spans="1:11" ht="22" customHeight="1">
      <c r="A1" s="89" t="s">
        <v>8</v>
      </c>
      <c r="B1" s="89" t="s">
        <v>131</v>
      </c>
      <c r="C1" s="89" t="s">
        <v>132</v>
      </c>
      <c r="D1" s="89" t="s">
        <v>133</v>
      </c>
      <c r="E1" s="89" t="s">
        <v>134</v>
      </c>
      <c r="F1" s="89" t="s">
        <v>135</v>
      </c>
      <c r="G1" s="89" t="s">
        <v>136</v>
      </c>
      <c r="H1" s="89" t="s">
        <v>137</v>
      </c>
      <c r="I1" s="89" t="s">
        <v>138</v>
      </c>
      <c r="J1" s="89" t="s">
        <v>139</v>
      </c>
      <c r="K1" s="89" t="s">
        <v>140</v>
      </c>
    </row>
    <row r="2" spans="1:11" ht="22" customHeight="1">
      <c r="A2" s="87">
        <v>44317</v>
      </c>
      <c r="B2" s="49">
        <v>26.277999999999999</v>
      </c>
      <c r="C2" s="49"/>
      <c r="D2" s="49">
        <v>28.483000000000001</v>
      </c>
      <c r="E2" s="49"/>
      <c r="F2" s="49">
        <v>26.95</v>
      </c>
      <c r="G2" s="49"/>
      <c r="H2" s="49">
        <v>151.93</v>
      </c>
      <c r="I2" s="49"/>
      <c r="J2" s="88">
        <v>10.35</v>
      </c>
      <c r="K2" s="49"/>
    </row>
    <row r="3" spans="1:11" ht="22" customHeight="1">
      <c r="A3" s="87">
        <v>44348</v>
      </c>
      <c r="B3" s="49">
        <v>25.670999999999999</v>
      </c>
      <c r="C3" s="49">
        <f t="shared" ref="C3:C34" si="0">LN(B3/B2)</f>
        <v>-2.3370137115602922E-2</v>
      </c>
      <c r="D3" s="49">
        <v>27.928000000000001</v>
      </c>
      <c r="E3" s="49">
        <f t="shared" ref="E3:E34" si="1">LN(D3/D2)</f>
        <v>-1.9677648272131261E-2</v>
      </c>
      <c r="F3" s="49">
        <v>26.22</v>
      </c>
      <c r="G3" s="49">
        <f t="shared" ref="G3:G34" si="2">LN(F3/F2)</f>
        <v>-2.7460819019452336E-2</v>
      </c>
      <c r="H3" s="49">
        <v>156.43</v>
      </c>
      <c r="I3" s="49">
        <f t="shared" ref="I3:I34" si="3">LN(H3/H2)</f>
        <v>2.9188737118003905E-2</v>
      </c>
      <c r="J3" s="88">
        <v>10.49</v>
      </c>
      <c r="K3" s="49">
        <f t="shared" ref="K3:K34" si="4">LN(J3/J2)</f>
        <v>1.3435902696827699E-2</v>
      </c>
    </row>
    <row r="4" spans="1:11" ht="22" customHeight="1">
      <c r="A4" s="87">
        <v>44378</v>
      </c>
      <c r="B4" s="49">
        <v>24.388000000000002</v>
      </c>
      <c r="C4" s="49">
        <f t="shared" si="0"/>
        <v>-5.1270742058457705E-2</v>
      </c>
      <c r="D4" s="49">
        <v>27.491</v>
      </c>
      <c r="E4" s="49">
        <f t="shared" si="1"/>
        <v>-1.5771091422888447E-2</v>
      </c>
      <c r="F4" s="49">
        <v>25.93</v>
      </c>
      <c r="G4" s="49">
        <f t="shared" si="2"/>
        <v>-1.1121878784980787E-2</v>
      </c>
      <c r="H4" s="49">
        <v>156.9</v>
      </c>
      <c r="I4" s="49">
        <f t="shared" si="3"/>
        <v>3.0000341653078971E-3</v>
      </c>
      <c r="J4" s="88">
        <v>10.33</v>
      </c>
      <c r="K4" s="49">
        <f t="shared" si="4"/>
        <v>-1.5370139276658635E-2</v>
      </c>
    </row>
    <row r="5" spans="1:11" ht="22" customHeight="1">
      <c r="A5" s="87">
        <v>44409</v>
      </c>
      <c r="B5" s="49">
        <v>25.681000000000001</v>
      </c>
      <c r="C5" s="49">
        <f t="shared" si="0"/>
        <v>5.1660210827985831E-2</v>
      </c>
      <c r="D5" s="49">
        <v>27.63</v>
      </c>
      <c r="E5" s="49">
        <f t="shared" si="1"/>
        <v>5.0434605554786627E-3</v>
      </c>
      <c r="F5" s="49">
        <v>27.73</v>
      </c>
      <c r="G5" s="49">
        <f t="shared" si="2"/>
        <v>6.7114260077113713E-2</v>
      </c>
      <c r="H5" s="49">
        <v>166.74</v>
      </c>
      <c r="I5" s="49">
        <f t="shared" si="3"/>
        <v>6.0827053243480422E-2</v>
      </c>
      <c r="J5" s="88">
        <v>10.039999999999999</v>
      </c>
      <c r="K5" s="49">
        <f t="shared" si="4"/>
        <v>-2.8475168867964126E-2</v>
      </c>
    </row>
    <row r="6" spans="1:11" ht="22" customHeight="1">
      <c r="A6" s="87">
        <v>44440</v>
      </c>
      <c r="B6" s="49">
        <v>25.86</v>
      </c>
      <c r="C6" s="49">
        <f t="shared" si="0"/>
        <v>6.9459544701557319E-3</v>
      </c>
      <c r="D6" s="49">
        <v>27.928000000000001</v>
      </c>
      <c r="E6" s="49">
        <f t="shared" si="1"/>
        <v>1.072763086740979E-2</v>
      </c>
      <c r="F6" s="49">
        <v>27.83</v>
      </c>
      <c r="G6" s="49">
        <f t="shared" si="2"/>
        <v>3.5997159101126756E-3</v>
      </c>
      <c r="H6" s="49">
        <v>182</v>
      </c>
      <c r="I6" s="49">
        <f t="shared" si="3"/>
        <v>8.7570974094327916E-2</v>
      </c>
      <c r="J6" s="88">
        <v>9.4499999999999993</v>
      </c>
      <c r="K6" s="49">
        <f t="shared" si="4"/>
        <v>-6.0562372757931693E-2</v>
      </c>
    </row>
    <row r="7" spans="1:11" ht="22" customHeight="1">
      <c r="A7" s="87">
        <v>44470</v>
      </c>
      <c r="B7" s="49">
        <v>25.532</v>
      </c>
      <c r="C7" s="49">
        <f t="shared" si="0"/>
        <v>-1.276480594990057E-2</v>
      </c>
      <c r="D7" s="49">
        <v>27.917999999999999</v>
      </c>
      <c r="E7" s="49">
        <f t="shared" si="1"/>
        <v>-3.5812771216849575E-4</v>
      </c>
      <c r="F7" s="49">
        <v>28.71</v>
      </c>
      <c r="G7" s="49">
        <f t="shared" si="2"/>
        <v>3.1130918595173213E-2</v>
      </c>
      <c r="H7" s="49">
        <v>197.83</v>
      </c>
      <c r="I7" s="49">
        <f t="shared" si="3"/>
        <v>8.3401388963205397E-2</v>
      </c>
      <c r="J7" s="88">
        <v>9.25</v>
      </c>
      <c r="K7" s="49">
        <f t="shared" si="4"/>
        <v>-2.1391189981317445E-2</v>
      </c>
    </row>
    <row r="8" spans="1:11" ht="22" customHeight="1">
      <c r="A8" s="87">
        <v>44501</v>
      </c>
      <c r="B8" s="49">
        <v>20.41</v>
      </c>
      <c r="C8" s="49">
        <f t="shared" si="0"/>
        <v>-0.22390759057205747</v>
      </c>
      <c r="D8" s="49">
        <v>26.489000000000001</v>
      </c>
      <c r="E8" s="49">
        <f t="shared" si="1"/>
        <v>-5.2542089613516051E-2</v>
      </c>
      <c r="F8" s="49">
        <v>27.3</v>
      </c>
      <c r="G8" s="49">
        <f t="shared" si="2"/>
        <v>-5.0358791942058494E-2</v>
      </c>
      <c r="H8" s="49">
        <v>196.74</v>
      </c>
      <c r="I8" s="49">
        <f t="shared" si="3"/>
        <v>-5.5250159553887658E-3</v>
      </c>
      <c r="J8" s="88">
        <v>8.57</v>
      </c>
      <c r="K8" s="49">
        <f t="shared" si="4"/>
        <v>-7.635581891464531E-2</v>
      </c>
    </row>
    <row r="9" spans="1:11" ht="22" customHeight="1">
      <c r="A9" s="87">
        <v>44531</v>
      </c>
      <c r="B9" s="49">
        <v>21.234999999999999</v>
      </c>
      <c r="C9" s="49">
        <f t="shared" si="0"/>
        <v>3.9625786943481012E-2</v>
      </c>
      <c r="D9" s="49">
        <v>27.292999999999999</v>
      </c>
      <c r="E9" s="49">
        <f t="shared" si="1"/>
        <v>2.9900706578723259E-2</v>
      </c>
      <c r="F9" s="49">
        <v>28.84</v>
      </c>
      <c r="G9" s="49">
        <f t="shared" si="2"/>
        <v>5.4876610225834302E-2</v>
      </c>
      <c r="H9" s="49">
        <v>205.4</v>
      </c>
      <c r="I9" s="49">
        <f t="shared" si="3"/>
        <v>4.3076237409846049E-2</v>
      </c>
      <c r="J9" s="88">
        <v>9.1</v>
      </c>
      <c r="K9" s="49">
        <f t="shared" si="4"/>
        <v>6.0006680913115867E-2</v>
      </c>
    </row>
    <row r="10" spans="1:11" ht="22" customHeight="1">
      <c r="A10" s="87">
        <v>44562</v>
      </c>
      <c r="B10" s="49">
        <v>20.190999999999999</v>
      </c>
      <c r="C10" s="49">
        <f t="shared" si="0"/>
        <v>-5.0413803196997356E-2</v>
      </c>
      <c r="D10" s="49">
        <v>26.32</v>
      </c>
      <c r="E10" s="49">
        <f t="shared" si="1"/>
        <v>-3.6301152598657134E-2</v>
      </c>
      <c r="F10" s="49">
        <v>27.13</v>
      </c>
      <c r="G10" s="49">
        <f t="shared" si="2"/>
        <v>-6.112318574590804E-2</v>
      </c>
      <c r="H10" s="49">
        <v>183.62</v>
      </c>
      <c r="I10" s="49">
        <f t="shared" si="3"/>
        <v>-0.11209089277890391</v>
      </c>
      <c r="J10" s="88">
        <v>8.58</v>
      </c>
      <c r="K10" s="49">
        <f t="shared" si="4"/>
        <v>-5.8840500022933347E-2</v>
      </c>
    </row>
    <row r="11" spans="1:11" ht="22" customHeight="1">
      <c r="A11" s="87">
        <v>44593</v>
      </c>
      <c r="B11" s="49">
        <v>22.687000000000001</v>
      </c>
      <c r="C11" s="49">
        <f t="shared" si="0"/>
        <v>0.11655511264648659</v>
      </c>
      <c r="D11" s="49">
        <v>25.805</v>
      </c>
      <c r="E11" s="49">
        <f t="shared" si="1"/>
        <v>-1.9760834856426022E-2</v>
      </c>
      <c r="F11" s="49">
        <v>28.94</v>
      </c>
      <c r="G11" s="49">
        <f t="shared" si="2"/>
        <v>6.4584594532497458E-2</v>
      </c>
      <c r="H11" s="49">
        <v>180.78</v>
      </c>
      <c r="I11" s="49">
        <f t="shared" si="3"/>
        <v>-1.5587582345289053E-2</v>
      </c>
      <c r="J11" s="88">
        <v>9.61</v>
      </c>
      <c r="K11" s="49">
        <f t="shared" si="4"/>
        <v>0.11337030948233009</v>
      </c>
    </row>
    <row r="12" spans="1:11" ht="22" customHeight="1">
      <c r="A12" s="87">
        <v>44621</v>
      </c>
      <c r="B12" s="49">
        <v>24.11</v>
      </c>
      <c r="C12" s="49">
        <f t="shared" si="0"/>
        <v>6.0834618978355987E-2</v>
      </c>
      <c r="D12" s="49">
        <v>27.382000000000001</v>
      </c>
      <c r="E12" s="49">
        <f t="shared" si="1"/>
        <v>5.9317591610873764E-2</v>
      </c>
      <c r="F12" s="49">
        <v>32.35</v>
      </c>
      <c r="G12" s="49">
        <f t="shared" si="2"/>
        <v>0.11138929974357178</v>
      </c>
      <c r="H12" s="49">
        <v>203.27</v>
      </c>
      <c r="I12" s="49">
        <f t="shared" si="3"/>
        <v>0.11725432220060571</v>
      </c>
      <c r="J12" s="88">
        <v>10.29</v>
      </c>
      <c r="K12" s="49">
        <f t="shared" si="4"/>
        <v>6.8368326863757115E-2</v>
      </c>
    </row>
    <row r="13" spans="1:11" ht="22" customHeight="1">
      <c r="A13" s="87">
        <v>44652</v>
      </c>
      <c r="B13" s="49">
        <v>23.742000000000001</v>
      </c>
      <c r="C13" s="49">
        <f t="shared" si="0"/>
        <v>-1.5381060561737395E-2</v>
      </c>
      <c r="D13" s="49">
        <v>27.084</v>
      </c>
      <c r="E13" s="49">
        <f t="shared" si="1"/>
        <v>-1.0942715588165425E-2</v>
      </c>
      <c r="F13" s="49">
        <v>32.630000000000003</v>
      </c>
      <c r="G13" s="49">
        <f t="shared" si="2"/>
        <v>8.6180896583196338E-3</v>
      </c>
      <c r="H13" s="49">
        <v>206.98</v>
      </c>
      <c r="I13" s="49">
        <f t="shared" si="3"/>
        <v>1.8087025669156424E-2</v>
      </c>
      <c r="J13" s="88">
        <v>10.65</v>
      </c>
      <c r="K13" s="49">
        <f t="shared" si="4"/>
        <v>3.4387342309475946E-2</v>
      </c>
    </row>
    <row r="14" spans="1:11" ht="22" customHeight="1">
      <c r="A14" s="87">
        <v>44682</v>
      </c>
      <c r="B14" s="49">
        <v>23.742000000000001</v>
      </c>
      <c r="C14" s="49">
        <f t="shared" si="0"/>
        <v>0</v>
      </c>
      <c r="D14" s="49">
        <v>24.841999999999999</v>
      </c>
      <c r="E14" s="49">
        <f t="shared" si="1"/>
        <v>-8.6407378501396945E-2</v>
      </c>
      <c r="F14" s="49">
        <v>31.26</v>
      </c>
      <c r="G14" s="49">
        <f t="shared" si="2"/>
        <v>-4.2892785611898757E-2</v>
      </c>
      <c r="H14" s="49">
        <v>185.98</v>
      </c>
      <c r="I14" s="49">
        <f t="shared" si="3"/>
        <v>-0.10698302918997571</v>
      </c>
      <c r="J14" s="88">
        <v>10.42</v>
      </c>
      <c r="K14" s="49">
        <f t="shared" si="4"/>
        <v>-2.1832855830213306E-2</v>
      </c>
    </row>
    <row r="15" spans="1:11" ht="22" customHeight="1">
      <c r="A15" s="87">
        <v>44713</v>
      </c>
      <c r="B15" s="49">
        <v>19.395</v>
      </c>
      <c r="C15" s="49">
        <f t="shared" si="0"/>
        <v>-0.20223033073941177</v>
      </c>
      <c r="D15" s="49">
        <v>21.856000000000002</v>
      </c>
      <c r="E15" s="49">
        <f t="shared" si="1"/>
        <v>-0.12806028573362235</v>
      </c>
      <c r="F15" s="49">
        <v>27.39</v>
      </c>
      <c r="G15" s="49">
        <f t="shared" si="2"/>
        <v>-0.13216134171834376</v>
      </c>
      <c r="H15" s="49">
        <v>164.51</v>
      </c>
      <c r="I15" s="49">
        <f t="shared" si="3"/>
        <v>-0.12266778241872224</v>
      </c>
      <c r="J15" s="88">
        <v>9.07</v>
      </c>
      <c r="K15" s="49">
        <f t="shared" si="4"/>
        <v>-0.13875477219817556</v>
      </c>
    </row>
    <row r="16" spans="1:11" ht="22" customHeight="1">
      <c r="A16" s="87">
        <v>44743</v>
      </c>
      <c r="B16" s="49">
        <v>21.393999999999998</v>
      </c>
      <c r="C16" s="49">
        <f t="shared" si="0"/>
        <v>9.8095207992008646E-2</v>
      </c>
      <c r="D16" s="49">
        <v>22.9</v>
      </c>
      <c r="E16" s="49">
        <f t="shared" si="1"/>
        <v>4.666142717181436E-2</v>
      </c>
      <c r="F16" s="49">
        <v>30.6</v>
      </c>
      <c r="G16" s="49">
        <f t="shared" si="2"/>
        <v>0.11082202568334835</v>
      </c>
      <c r="H16" s="49">
        <v>181.13</v>
      </c>
      <c r="I16" s="49">
        <f t="shared" si="3"/>
        <v>9.6243646873496277E-2</v>
      </c>
      <c r="J16" s="88">
        <v>10.3</v>
      </c>
      <c r="K16" s="49">
        <f t="shared" si="4"/>
        <v>0.1271716311085449</v>
      </c>
    </row>
    <row r="17" spans="1:11" ht="22" customHeight="1">
      <c r="A17" s="87">
        <v>44774</v>
      </c>
      <c r="B17" s="49">
        <v>21.494</v>
      </c>
      <c r="C17" s="49">
        <f t="shared" si="0"/>
        <v>4.6633175350224544E-3</v>
      </c>
      <c r="D17" s="49">
        <v>22.83</v>
      </c>
      <c r="E17" s="49">
        <f t="shared" si="1"/>
        <v>-3.0614500184898228E-3</v>
      </c>
      <c r="F17" s="49">
        <v>30.59</v>
      </c>
      <c r="G17" s="49">
        <f t="shared" si="2"/>
        <v>-3.2685079552299937E-4</v>
      </c>
      <c r="H17" s="49">
        <v>177.26</v>
      </c>
      <c r="I17" s="49">
        <f t="shared" si="3"/>
        <v>-2.1597424194573313E-2</v>
      </c>
      <c r="J17" s="88">
        <v>9.0399999999999991</v>
      </c>
      <c r="K17" s="49">
        <f t="shared" si="4"/>
        <v>-0.13048472083150509</v>
      </c>
    </row>
    <row r="18" spans="1:11" ht="22" customHeight="1">
      <c r="A18" s="87">
        <v>44805</v>
      </c>
      <c r="B18" s="49">
        <v>20.529</v>
      </c>
      <c r="C18" s="49">
        <f t="shared" si="0"/>
        <v>-4.593530578049114E-2</v>
      </c>
      <c r="D18" s="49">
        <v>22.8</v>
      </c>
      <c r="E18" s="49">
        <f t="shared" si="1"/>
        <v>-1.3149245813089175E-3</v>
      </c>
      <c r="F18" s="49">
        <v>28.81</v>
      </c>
      <c r="G18" s="49">
        <f t="shared" si="2"/>
        <v>-5.9950609066374956E-2</v>
      </c>
      <c r="H18" s="49">
        <v>152.74</v>
      </c>
      <c r="I18" s="49">
        <f t="shared" si="3"/>
        <v>-0.14888045185001375</v>
      </c>
      <c r="J18" s="88">
        <v>7.79</v>
      </c>
      <c r="K18" s="49">
        <f t="shared" si="4"/>
        <v>-0.14881831452142813</v>
      </c>
    </row>
    <row r="19" spans="1:11" ht="22" customHeight="1">
      <c r="A19" s="87">
        <v>44835</v>
      </c>
      <c r="B19" s="49">
        <v>23.98</v>
      </c>
      <c r="C19" s="49">
        <f t="shared" si="0"/>
        <v>0.15538162896089791</v>
      </c>
      <c r="D19" s="49">
        <v>25.56</v>
      </c>
      <c r="E19" s="49">
        <f t="shared" si="1"/>
        <v>0.11426809354893891</v>
      </c>
      <c r="F19" s="49">
        <v>32.42</v>
      </c>
      <c r="G19" s="49">
        <f t="shared" si="2"/>
        <v>0.1180529672110931</v>
      </c>
      <c r="H19" s="49">
        <v>169.5</v>
      </c>
      <c r="I19" s="49">
        <f t="shared" si="3"/>
        <v>0.10411579736026685</v>
      </c>
      <c r="J19" s="88">
        <v>9.01</v>
      </c>
      <c r="K19" s="49">
        <f t="shared" si="4"/>
        <v>0.14549421173758953</v>
      </c>
    </row>
    <row r="20" spans="1:11" ht="22" customHeight="1">
      <c r="A20" s="87">
        <v>44866</v>
      </c>
      <c r="B20" s="49">
        <v>23.641999999999999</v>
      </c>
      <c r="C20" s="49">
        <f t="shared" si="0"/>
        <v>-1.4195358271183E-2</v>
      </c>
      <c r="D20" s="49">
        <v>24.74</v>
      </c>
      <c r="E20" s="49">
        <f t="shared" si="1"/>
        <v>-3.2607262544992237E-2</v>
      </c>
      <c r="F20" s="49">
        <v>31.54</v>
      </c>
      <c r="G20" s="49">
        <f t="shared" si="2"/>
        <v>-2.7518934772637768E-2</v>
      </c>
      <c r="H20" s="49">
        <v>178.71</v>
      </c>
      <c r="I20" s="49">
        <f t="shared" si="3"/>
        <v>5.2911453488200824E-2</v>
      </c>
      <c r="J20" s="88">
        <v>9.15</v>
      </c>
      <c r="K20" s="49">
        <f t="shared" si="4"/>
        <v>1.5418807667183359E-2</v>
      </c>
    </row>
    <row r="21" spans="1:11" ht="22" customHeight="1">
      <c r="A21" s="87">
        <v>44896</v>
      </c>
      <c r="B21" s="49">
        <v>23.224</v>
      </c>
      <c r="C21" s="49">
        <f t="shared" si="0"/>
        <v>-1.7838564605856456E-2</v>
      </c>
      <c r="D21" s="49">
        <v>23.66</v>
      </c>
      <c r="E21" s="49">
        <f t="shared" si="1"/>
        <v>-4.4635508414101008E-2</v>
      </c>
      <c r="F21" s="49">
        <v>30.06</v>
      </c>
      <c r="G21" s="49">
        <f t="shared" si="2"/>
        <v>-4.8061197210063952E-2</v>
      </c>
      <c r="H21" s="49">
        <v>166.96</v>
      </c>
      <c r="I21" s="49">
        <f t="shared" si="3"/>
        <v>-6.8010117539760398E-2</v>
      </c>
      <c r="J21" s="88">
        <v>9.81</v>
      </c>
      <c r="K21" s="49">
        <f t="shared" si="4"/>
        <v>6.9648394289841764E-2</v>
      </c>
    </row>
    <row r="22" spans="1:11" ht="22" customHeight="1">
      <c r="A22" s="87">
        <v>44927</v>
      </c>
      <c r="B22" s="49">
        <v>23.591999999999999</v>
      </c>
      <c r="C22" s="49">
        <f t="shared" si="0"/>
        <v>1.5721444790646372E-2</v>
      </c>
      <c r="D22" s="49">
        <v>25.09</v>
      </c>
      <c r="E22" s="49">
        <f t="shared" si="1"/>
        <v>5.8683501828090207E-2</v>
      </c>
      <c r="F22" s="49">
        <v>31.79</v>
      </c>
      <c r="G22" s="49">
        <f t="shared" si="2"/>
        <v>5.5956390597882981E-2</v>
      </c>
      <c r="H22" s="49">
        <v>187.34</v>
      </c>
      <c r="I22" s="49">
        <f t="shared" si="3"/>
        <v>0.11517088501203923</v>
      </c>
      <c r="J22" s="88">
        <v>10.06</v>
      </c>
      <c r="K22" s="49">
        <f t="shared" si="4"/>
        <v>2.5164891094321403E-2</v>
      </c>
    </row>
    <row r="23" spans="1:11" ht="22" customHeight="1">
      <c r="A23" s="87">
        <v>44958</v>
      </c>
      <c r="B23" s="49">
        <v>22.408999999999999</v>
      </c>
      <c r="C23" s="49">
        <f t="shared" si="0"/>
        <v>-5.1445007631961505E-2</v>
      </c>
      <c r="D23" s="49">
        <v>24.65</v>
      </c>
      <c r="E23" s="49">
        <f t="shared" si="1"/>
        <v>-1.7692459889631904E-2</v>
      </c>
      <c r="F23" s="49">
        <v>30</v>
      </c>
      <c r="G23" s="49">
        <f t="shared" si="2"/>
        <v>-5.7954393260555903E-2</v>
      </c>
      <c r="H23" s="49">
        <v>189.52</v>
      </c>
      <c r="I23" s="49">
        <f t="shared" si="3"/>
        <v>1.1569412069545502E-2</v>
      </c>
      <c r="J23" s="88">
        <v>9.7799999999999994</v>
      </c>
      <c r="K23" s="49">
        <f t="shared" si="4"/>
        <v>-2.8227680624867319E-2</v>
      </c>
    </row>
    <row r="24" spans="1:11" ht="22" customHeight="1">
      <c r="A24" s="87">
        <v>44986</v>
      </c>
      <c r="B24" s="49">
        <v>21.544</v>
      </c>
      <c r="C24" s="49">
        <f t="shared" si="0"/>
        <v>-3.9365308371715757E-2</v>
      </c>
      <c r="D24" s="49">
        <v>22.93</v>
      </c>
      <c r="E24" s="49">
        <f t="shared" si="1"/>
        <v>-7.2330803618885983E-2</v>
      </c>
      <c r="F24" s="49">
        <v>27.72</v>
      </c>
      <c r="G24" s="49">
        <f t="shared" si="2"/>
        <v>-7.9043207340452962E-2</v>
      </c>
      <c r="H24" s="49">
        <v>175.66</v>
      </c>
      <c r="I24" s="49">
        <f t="shared" si="3"/>
        <v>-7.5944251361558787E-2</v>
      </c>
      <c r="J24" s="88">
        <v>8.67</v>
      </c>
      <c r="K24" s="49">
        <f t="shared" si="4"/>
        <v>-0.12047069325427537</v>
      </c>
    </row>
    <row r="25" spans="1:11" ht="22" customHeight="1">
      <c r="A25" s="87">
        <v>45017</v>
      </c>
      <c r="B25" s="49">
        <v>22.349</v>
      </c>
      <c r="C25" s="49">
        <f t="shared" si="0"/>
        <v>3.6684221819987713E-2</v>
      </c>
      <c r="D25" s="49">
        <v>24.35</v>
      </c>
      <c r="E25" s="49">
        <f t="shared" si="1"/>
        <v>6.0085752658785734E-2</v>
      </c>
      <c r="F25" s="49">
        <v>28.84</v>
      </c>
      <c r="G25" s="49">
        <f t="shared" si="2"/>
        <v>3.9609138095045883E-2</v>
      </c>
      <c r="H25" s="49">
        <v>182.6</v>
      </c>
      <c r="I25" s="49">
        <f t="shared" si="3"/>
        <v>3.8747659671896771E-2</v>
      </c>
      <c r="J25" s="88">
        <v>8.64</v>
      </c>
      <c r="K25" s="49">
        <f t="shared" si="4"/>
        <v>-3.4662079764861725E-3</v>
      </c>
    </row>
    <row r="26" spans="1:11" ht="22" customHeight="1">
      <c r="A26" s="87">
        <v>45047</v>
      </c>
      <c r="B26" s="49">
        <v>20.568999999999999</v>
      </c>
      <c r="C26" s="49">
        <f t="shared" si="0"/>
        <v>-8.2996489333259468E-2</v>
      </c>
      <c r="D26" s="49">
        <v>22.92</v>
      </c>
      <c r="E26" s="49">
        <f t="shared" si="1"/>
        <v>-6.0521957682059972E-2</v>
      </c>
      <c r="F26" s="49">
        <v>25.97</v>
      </c>
      <c r="G26" s="49">
        <f t="shared" si="2"/>
        <v>-0.10482128674209132</v>
      </c>
      <c r="H26" s="49">
        <v>170.74</v>
      </c>
      <c r="I26" s="49">
        <f t="shared" si="3"/>
        <v>-6.715603657870764E-2</v>
      </c>
      <c r="J26" s="88">
        <v>8.59</v>
      </c>
      <c r="K26" s="49">
        <f t="shared" si="4"/>
        <v>-5.8038468198003037E-3</v>
      </c>
    </row>
    <row r="27" spans="1:11" ht="22" customHeight="1">
      <c r="A27" s="87">
        <v>45078</v>
      </c>
      <c r="B27" s="49">
        <v>21.225000000000001</v>
      </c>
      <c r="C27" s="49">
        <f t="shared" si="0"/>
        <v>3.1394644201384991E-2</v>
      </c>
      <c r="D27" s="49">
        <v>23.71</v>
      </c>
      <c r="E27" s="49">
        <f t="shared" si="1"/>
        <v>3.3887008230775249E-2</v>
      </c>
      <c r="F27" s="49">
        <v>26.37</v>
      </c>
      <c r="G27" s="49">
        <f t="shared" si="2"/>
        <v>1.528497469053829E-2</v>
      </c>
      <c r="H27" s="49">
        <v>177.62</v>
      </c>
      <c r="I27" s="49">
        <f t="shared" si="3"/>
        <v>3.9504505248197763E-2</v>
      </c>
      <c r="J27" s="88">
        <v>8.59</v>
      </c>
      <c r="K27" s="49">
        <f t="shared" si="4"/>
        <v>0</v>
      </c>
    </row>
    <row r="28" spans="1:11" ht="22" customHeight="1">
      <c r="A28" s="87">
        <v>45108</v>
      </c>
      <c r="B28" s="49">
        <v>22.22</v>
      </c>
      <c r="C28" s="49">
        <f t="shared" si="0"/>
        <v>4.5813052014072903E-2</v>
      </c>
      <c r="D28" s="49">
        <v>25.75</v>
      </c>
      <c r="E28" s="49">
        <f t="shared" si="1"/>
        <v>8.253772703243091E-2</v>
      </c>
      <c r="F28" s="49">
        <v>28.42</v>
      </c>
      <c r="G28" s="49">
        <f t="shared" si="2"/>
        <v>7.4866122303759275E-2</v>
      </c>
      <c r="H28" s="49">
        <v>175.01</v>
      </c>
      <c r="I28" s="49">
        <f t="shared" si="3"/>
        <v>-1.4803321682292063E-2</v>
      </c>
      <c r="J28" s="88">
        <v>9.35</v>
      </c>
      <c r="K28" s="49">
        <f t="shared" si="4"/>
        <v>8.4777607304431693E-2</v>
      </c>
    </row>
    <row r="29" spans="1:11" ht="22" customHeight="1">
      <c r="A29" s="87">
        <v>45139</v>
      </c>
      <c r="B29" s="49">
        <v>21.832000000000001</v>
      </c>
      <c r="C29" s="49">
        <f t="shared" si="0"/>
        <v>-1.7616000805446501E-2</v>
      </c>
      <c r="D29" s="49">
        <v>25.33</v>
      </c>
      <c r="E29" s="49">
        <f t="shared" si="1"/>
        <v>-1.6445163096161373E-2</v>
      </c>
      <c r="F29" s="49">
        <v>28.96</v>
      </c>
      <c r="G29" s="49">
        <f t="shared" si="2"/>
        <v>1.8822444848560969E-2</v>
      </c>
      <c r="H29" s="49">
        <v>177.53</v>
      </c>
      <c r="I29" s="49">
        <f t="shared" si="3"/>
        <v>1.4296493570640199E-2</v>
      </c>
      <c r="J29" s="88">
        <v>9.51</v>
      </c>
      <c r="K29" s="49">
        <f t="shared" si="4"/>
        <v>1.6967533256703287E-2</v>
      </c>
    </row>
    <row r="30" spans="1:11" ht="22" customHeight="1">
      <c r="A30" s="87">
        <v>45170</v>
      </c>
      <c r="B30" s="49">
        <v>21.036000000000001</v>
      </c>
      <c r="C30" s="49">
        <f t="shared" si="0"/>
        <v>-3.7141527678939523E-2</v>
      </c>
      <c r="D30" s="49">
        <v>25.66</v>
      </c>
      <c r="E30" s="49">
        <f t="shared" si="1"/>
        <v>1.2943895173906659E-2</v>
      </c>
      <c r="F30" s="49">
        <v>29.07</v>
      </c>
      <c r="G30" s="49">
        <f t="shared" si="2"/>
        <v>3.7911470532689911E-3</v>
      </c>
      <c r="H30" s="49">
        <v>167.73</v>
      </c>
      <c r="I30" s="49">
        <f t="shared" si="3"/>
        <v>-5.6784065012042736E-2</v>
      </c>
      <c r="J30" s="88">
        <v>8.93</v>
      </c>
      <c r="K30" s="49">
        <f t="shared" si="4"/>
        <v>-6.2927481668891214E-2</v>
      </c>
    </row>
    <row r="31" spans="1:11" ht="22" customHeight="1">
      <c r="A31" s="87">
        <v>45200</v>
      </c>
      <c r="B31" s="49">
        <v>20.489000000000001</v>
      </c>
      <c r="C31" s="49">
        <f t="shared" si="0"/>
        <v>-2.6347098962035714E-2</v>
      </c>
      <c r="D31" s="49">
        <v>24.71</v>
      </c>
      <c r="E31" s="49">
        <f t="shared" si="1"/>
        <v>-3.772533918697165E-2</v>
      </c>
      <c r="F31" s="49">
        <v>28.05</v>
      </c>
      <c r="G31" s="49">
        <f t="shared" si="2"/>
        <v>-3.5718082602079232E-2</v>
      </c>
      <c r="H31" s="49">
        <v>160.97999999999999</v>
      </c>
      <c r="I31" s="49">
        <f t="shared" si="3"/>
        <v>-4.107541004107592E-2</v>
      </c>
      <c r="J31" s="88">
        <v>8.6999999999999993</v>
      </c>
      <c r="K31" s="49">
        <f t="shared" si="4"/>
        <v>-2.6093369227869645E-2</v>
      </c>
    </row>
    <row r="32" spans="1:11" ht="22" customHeight="1">
      <c r="A32" s="87">
        <v>45231</v>
      </c>
      <c r="B32" s="49">
        <v>21.254999999999999</v>
      </c>
      <c r="C32" s="49">
        <f t="shared" si="0"/>
        <v>3.6704005045691185E-2</v>
      </c>
      <c r="D32" s="49">
        <v>24.37</v>
      </c>
      <c r="E32" s="49">
        <f t="shared" si="1"/>
        <v>-1.3855152363403804E-2</v>
      </c>
      <c r="F32" s="49">
        <v>28.4</v>
      </c>
      <c r="G32" s="49">
        <f t="shared" si="2"/>
        <v>1.240051319845501E-2</v>
      </c>
      <c r="H32" s="49">
        <v>169.05</v>
      </c>
      <c r="I32" s="49">
        <f t="shared" si="3"/>
        <v>4.8914395488307408E-2</v>
      </c>
      <c r="J32" s="88">
        <v>8.92</v>
      </c>
      <c r="K32" s="49">
        <f t="shared" si="4"/>
        <v>2.4972920931380097E-2</v>
      </c>
    </row>
    <row r="33" spans="1:11" ht="22" customHeight="1">
      <c r="A33" s="87">
        <v>45261</v>
      </c>
      <c r="B33" s="49">
        <v>22.777000000000001</v>
      </c>
      <c r="C33" s="49">
        <f t="shared" si="0"/>
        <v>6.9159093066972377E-2</v>
      </c>
      <c r="D33" s="49">
        <v>25.92</v>
      </c>
      <c r="E33" s="49">
        <f t="shared" si="1"/>
        <v>6.166200384695901E-2</v>
      </c>
      <c r="F33" s="49">
        <v>30.7</v>
      </c>
      <c r="G33" s="49">
        <f t="shared" si="2"/>
        <v>7.7873509425991111E-2</v>
      </c>
      <c r="H33" s="49">
        <v>183.63</v>
      </c>
      <c r="I33" s="49">
        <f t="shared" si="3"/>
        <v>8.2728334377193152E-2</v>
      </c>
      <c r="J33" s="88">
        <v>9.67</v>
      </c>
      <c r="K33" s="49">
        <f t="shared" si="4"/>
        <v>8.0732362873284919E-2</v>
      </c>
    </row>
    <row r="34" spans="1:11" ht="22" customHeight="1">
      <c r="A34" s="87">
        <v>45292</v>
      </c>
      <c r="B34" s="49">
        <v>24.05</v>
      </c>
      <c r="C34" s="49">
        <f t="shared" si="0"/>
        <v>5.4383741674044278E-2</v>
      </c>
      <c r="D34" s="49">
        <v>27.2</v>
      </c>
      <c r="E34" s="49">
        <f t="shared" si="1"/>
        <v>4.8202101817877686E-2</v>
      </c>
      <c r="F34" s="49">
        <v>32.6</v>
      </c>
      <c r="G34" s="49">
        <f t="shared" si="2"/>
        <v>6.0049633779510517E-2</v>
      </c>
      <c r="H34" s="49">
        <v>190.45</v>
      </c>
      <c r="I34" s="49">
        <f t="shared" si="3"/>
        <v>3.6466829393524872E-2</v>
      </c>
      <c r="J34" s="88">
        <v>9.84</v>
      </c>
      <c r="K34" s="49">
        <f t="shared" si="4"/>
        <v>1.742740159895912E-2</v>
      </c>
    </row>
    <row r="35" spans="1:11" ht="22" customHeight="1">
      <c r="A35" s="87">
        <v>45323</v>
      </c>
      <c r="B35" s="49">
        <v>26.207999999999998</v>
      </c>
      <c r="C35" s="49">
        <f t="shared" ref="C35:C61" si="5">LN(B35/B34)</f>
        <v>8.592971111888871E-2</v>
      </c>
      <c r="D35" s="49">
        <v>28.45</v>
      </c>
      <c r="E35" s="49">
        <f t="shared" ref="E35:E61" si="6">LN(D35/D34)</f>
        <v>4.4931187270388244E-2</v>
      </c>
      <c r="F35" s="49">
        <v>33.840000000000003</v>
      </c>
      <c r="G35" s="49">
        <f t="shared" ref="G35:G61" si="7">LN(F35/F34)</f>
        <v>3.7331246365360574E-2</v>
      </c>
      <c r="H35" s="49">
        <v>194.81</v>
      </c>
      <c r="I35" s="49">
        <f t="shared" ref="I35:I61" si="8">LN(H35/H34)</f>
        <v>2.2635031668499679E-2</v>
      </c>
      <c r="J35" s="88">
        <v>9.68</v>
      </c>
      <c r="K35" s="49">
        <f t="shared" ref="K35:K61" si="9">LN(J35/J34)</f>
        <v>-1.6393809775676383E-2</v>
      </c>
    </row>
    <row r="36" spans="1:11" ht="22" customHeight="1">
      <c r="A36" s="87">
        <v>45352</v>
      </c>
      <c r="B36" s="49">
        <v>25.96</v>
      </c>
      <c r="C36" s="49">
        <f t="shared" si="5"/>
        <v>-9.5078158347695271E-3</v>
      </c>
      <c r="D36" s="49">
        <v>29.4</v>
      </c>
      <c r="E36" s="49">
        <f t="shared" si="6"/>
        <v>3.2846513772295874E-2</v>
      </c>
      <c r="F36" s="49">
        <v>34.64</v>
      </c>
      <c r="G36" s="49">
        <f t="shared" si="7"/>
        <v>2.3365548956211693E-2</v>
      </c>
      <c r="H36" s="49">
        <v>199.7</v>
      </c>
      <c r="I36" s="49">
        <f t="shared" si="8"/>
        <v>2.4791515828656845E-2</v>
      </c>
      <c r="J36" s="88">
        <v>10.25</v>
      </c>
      <c r="K36" s="49">
        <f t="shared" si="9"/>
        <v>5.7215804295931538E-2</v>
      </c>
    </row>
    <row r="37" spans="1:11" ht="22" customHeight="1">
      <c r="A37" s="87">
        <v>45383</v>
      </c>
      <c r="B37" s="49">
        <v>25.82</v>
      </c>
      <c r="C37" s="49">
        <f t="shared" si="5"/>
        <v>-5.4075064173928203E-3</v>
      </c>
      <c r="D37" s="49">
        <v>28.16</v>
      </c>
      <c r="E37" s="49">
        <f t="shared" si="6"/>
        <v>-4.3092143054794182E-2</v>
      </c>
      <c r="F37" s="49">
        <v>33.799999999999997</v>
      </c>
      <c r="G37" s="49">
        <f t="shared" si="7"/>
        <v>-2.4548281205261358E-2</v>
      </c>
      <c r="H37" s="49">
        <v>187.47</v>
      </c>
      <c r="I37" s="49">
        <f t="shared" si="8"/>
        <v>-6.3197407812669429E-2</v>
      </c>
      <c r="J37" s="88">
        <v>9.7799999999999994</v>
      </c>
      <c r="K37" s="49">
        <f t="shared" si="9"/>
        <v>-4.6938221537691262E-2</v>
      </c>
    </row>
    <row r="38" spans="1:11" ht="22" customHeight="1">
      <c r="A38" s="87">
        <v>45413</v>
      </c>
      <c r="B38" s="49">
        <v>25.98</v>
      </c>
      <c r="C38" s="49">
        <f t="shared" si="5"/>
        <v>6.1776258239569348E-3</v>
      </c>
      <c r="D38" s="49">
        <v>28.25</v>
      </c>
      <c r="E38" s="49">
        <f t="shared" si="6"/>
        <v>3.1909263026082785E-3</v>
      </c>
      <c r="F38" s="49">
        <v>33.909999999999997</v>
      </c>
      <c r="G38" s="49">
        <f t="shared" si="7"/>
        <v>3.249153648574153E-3</v>
      </c>
      <c r="H38" s="49">
        <v>190.95</v>
      </c>
      <c r="I38" s="49">
        <f t="shared" si="8"/>
        <v>1.8392781062425083E-2</v>
      </c>
      <c r="J38" s="88">
        <v>10.93</v>
      </c>
      <c r="K38" s="49">
        <f t="shared" si="9"/>
        <v>0.11117181814172135</v>
      </c>
    </row>
    <row r="39" spans="1:11" ht="22" customHeight="1">
      <c r="A39" s="87">
        <v>45444</v>
      </c>
      <c r="B39" s="49">
        <v>27.23</v>
      </c>
      <c r="C39" s="49">
        <f t="shared" si="5"/>
        <v>4.6992295443214649E-2</v>
      </c>
      <c r="D39" s="49">
        <v>28.24</v>
      </c>
      <c r="E39" s="49">
        <f t="shared" si="6"/>
        <v>-3.5404496740868043E-4</v>
      </c>
      <c r="F39" s="49">
        <v>36.229999999999997</v>
      </c>
      <c r="G39" s="49">
        <f t="shared" si="7"/>
        <v>6.6177548769438627E-2</v>
      </c>
      <c r="H39" s="49">
        <v>204.69</v>
      </c>
      <c r="I39" s="49">
        <f t="shared" si="8"/>
        <v>6.9485025823916732E-2</v>
      </c>
      <c r="J39" s="88">
        <v>11.49</v>
      </c>
      <c r="K39" s="49">
        <f t="shared" si="9"/>
        <v>4.9965789672217251E-2</v>
      </c>
    </row>
    <row r="40" spans="1:11" ht="22" customHeight="1">
      <c r="A40" s="87">
        <v>45474</v>
      </c>
      <c r="B40" s="49">
        <v>29.8</v>
      </c>
      <c r="C40" s="49">
        <f t="shared" si="5"/>
        <v>9.0189086825690587E-2</v>
      </c>
      <c r="D40" s="49">
        <v>29.05</v>
      </c>
      <c r="E40" s="49">
        <f t="shared" si="6"/>
        <v>2.8279070672878982E-2</v>
      </c>
      <c r="F40" s="49">
        <v>38.58</v>
      </c>
      <c r="G40" s="49">
        <f t="shared" si="7"/>
        <v>6.2846502570597262E-2</v>
      </c>
      <c r="H40" s="49">
        <v>209.8</v>
      </c>
      <c r="I40" s="49">
        <f t="shared" si="8"/>
        <v>2.4658056466754952E-2</v>
      </c>
      <c r="J40" s="88">
        <v>12.49</v>
      </c>
      <c r="K40" s="49">
        <f t="shared" si="9"/>
        <v>8.3451232276822052E-2</v>
      </c>
    </row>
    <row r="41" spans="1:11" ht="22" customHeight="1">
      <c r="A41" s="87">
        <v>45505</v>
      </c>
      <c r="B41" s="49">
        <v>31.24</v>
      </c>
      <c r="C41" s="49">
        <f t="shared" si="5"/>
        <v>4.719093146012647E-2</v>
      </c>
      <c r="D41" s="49">
        <v>30.4</v>
      </c>
      <c r="E41" s="49">
        <f t="shared" si="6"/>
        <v>4.5424125114255635E-2</v>
      </c>
      <c r="F41" s="49">
        <v>38.17</v>
      </c>
      <c r="G41" s="49">
        <f t="shared" si="7"/>
        <v>-1.0684140720444548E-2</v>
      </c>
      <c r="H41" s="49">
        <v>215.65</v>
      </c>
      <c r="I41" s="49">
        <f t="shared" si="8"/>
        <v>2.7502027131655338E-2</v>
      </c>
      <c r="J41" s="88">
        <v>12.05</v>
      </c>
      <c r="K41" s="49">
        <f t="shared" si="9"/>
        <v>-3.5863664200822244E-2</v>
      </c>
    </row>
    <row r="42" spans="1:11" ht="22" customHeight="1">
      <c r="A42" s="87">
        <v>45536</v>
      </c>
      <c r="B42" s="49">
        <v>31.72</v>
      </c>
      <c r="C42" s="49">
        <f t="shared" si="5"/>
        <v>1.5248071795162138E-2</v>
      </c>
      <c r="D42" s="49">
        <v>30.48</v>
      </c>
      <c r="E42" s="49">
        <f t="shared" si="6"/>
        <v>2.62812240626963E-3</v>
      </c>
      <c r="F42" s="49">
        <v>37.35</v>
      </c>
      <c r="G42" s="49">
        <f t="shared" si="7"/>
        <v>-2.1716955178312111E-2</v>
      </c>
      <c r="H42" s="49">
        <v>232.37</v>
      </c>
      <c r="I42" s="49">
        <f t="shared" si="8"/>
        <v>7.4674205771669291E-2</v>
      </c>
      <c r="J42" s="88">
        <v>11.65</v>
      </c>
      <c r="K42" s="49">
        <f t="shared" si="9"/>
        <v>-3.375847992495442E-2</v>
      </c>
    </row>
    <row r="43" spans="1:11" ht="22" customHeight="1">
      <c r="A43" s="87">
        <v>45566</v>
      </c>
      <c r="B43" s="49">
        <v>32.119999999999997</v>
      </c>
      <c r="C43" s="49">
        <f t="shared" si="5"/>
        <v>1.2531492311913601E-2</v>
      </c>
      <c r="D43" s="49">
        <v>31.15</v>
      </c>
      <c r="E43" s="49">
        <f t="shared" si="6"/>
        <v>2.1743514415016516E-2</v>
      </c>
      <c r="F43" s="49">
        <v>38.799999999999997</v>
      </c>
      <c r="G43" s="49">
        <f t="shared" si="7"/>
        <v>3.8087335050401266E-2</v>
      </c>
      <c r="H43" s="49">
        <v>231.51</v>
      </c>
      <c r="I43" s="49">
        <f t="shared" si="8"/>
        <v>-3.7078597279001698E-3</v>
      </c>
      <c r="J43" s="88">
        <v>12.3</v>
      </c>
      <c r="K43" s="49">
        <f t="shared" si="9"/>
        <v>5.4293082366662256E-2</v>
      </c>
    </row>
    <row r="44" spans="1:11" ht="22" customHeight="1">
      <c r="A44" s="87">
        <v>45597</v>
      </c>
      <c r="B44" s="49">
        <v>33.36</v>
      </c>
      <c r="C44" s="49">
        <f t="shared" si="5"/>
        <v>3.7878688411985231E-2</v>
      </c>
      <c r="D44" s="49">
        <v>31.17</v>
      </c>
      <c r="E44" s="49">
        <f t="shared" si="6"/>
        <v>6.4184854578356134E-4</v>
      </c>
      <c r="F44" s="49">
        <v>39.1</v>
      </c>
      <c r="G44" s="49">
        <f t="shared" si="7"/>
        <v>7.7022203620925236E-3</v>
      </c>
      <c r="H44" s="49">
        <v>231.11</v>
      </c>
      <c r="I44" s="49">
        <f t="shared" si="8"/>
        <v>-1.7292814823417016E-3</v>
      </c>
      <c r="J44" s="88">
        <v>13.42</v>
      </c>
      <c r="K44" s="49">
        <f t="shared" si="9"/>
        <v>8.7146869165163926E-2</v>
      </c>
    </row>
    <row r="45" spans="1:11" ht="22" customHeight="1">
      <c r="A45" s="87">
        <v>45627</v>
      </c>
      <c r="B45" s="49">
        <v>32.32</v>
      </c>
      <c r="C45" s="49">
        <f t="shared" si="5"/>
        <v>-3.1671343837651411E-2</v>
      </c>
      <c r="D45" s="49">
        <v>28.54</v>
      </c>
      <c r="E45" s="49">
        <f t="shared" si="6"/>
        <v>-8.8149481730555465E-2</v>
      </c>
      <c r="F45" s="49">
        <v>37.1</v>
      </c>
      <c r="G45" s="49">
        <f t="shared" si="7"/>
        <v>-5.2505497377930622E-2</v>
      </c>
      <c r="H45" s="49">
        <v>221.65</v>
      </c>
      <c r="I45" s="49">
        <f t="shared" si="8"/>
        <v>-4.1794226464217051E-2</v>
      </c>
      <c r="J45" s="88">
        <v>13.1</v>
      </c>
      <c r="K45" s="49">
        <f t="shared" si="9"/>
        <v>-2.4133901336429859E-2</v>
      </c>
    </row>
    <row r="46" spans="1:11" ht="22" customHeight="1">
      <c r="A46" s="87">
        <v>45658</v>
      </c>
      <c r="B46" s="49">
        <v>33.729999999999997</v>
      </c>
      <c r="C46" s="49">
        <f t="shared" si="5"/>
        <v>4.2701415420664045E-2</v>
      </c>
      <c r="D46" s="49">
        <v>30.62</v>
      </c>
      <c r="E46" s="49">
        <f t="shared" si="6"/>
        <v>7.0346778180847364E-2</v>
      </c>
      <c r="F46" s="49">
        <v>40.14</v>
      </c>
      <c r="G46" s="49">
        <f t="shared" si="7"/>
        <v>7.8756373754802558E-2</v>
      </c>
      <c r="H46" s="49">
        <v>240.8</v>
      </c>
      <c r="I46" s="49">
        <f t="shared" si="8"/>
        <v>8.2867152243603401E-2</v>
      </c>
      <c r="J46" s="88">
        <v>13.6</v>
      </c>
      <c r="K46" s="49">
        <f t="shared" si="9"/>
        <v>3.7457562534900415E-2</v>
      </c>
    </row>
    <row r="47" spans="1:11" ht="22" customHeight="1">
      <c r="A47" s="87">
        <v>45689</v>
      </c>
      <c r="B47" s="49">
        <v>31.81</v>
      </c>
      <c r="C47" s="49">
        <f t="shared" si="5"/>
        <v>-5.8606943312506134E-2</v>
      </c>
      <c r="D47" s="49">
        <v>29.79</v>
      </c>
      <c r="E47" s="49">
        <f t="shared" si="6"/>
        <v>-2.7480623504346883E-2</v>
      </c>
      <c r="F47" s="49">
        <v>35.299999999999997</v>
      </c>
      <c r="G47" s="49">
        <f t="shared" si="7"/>
        <v>-0.12849037942894112</v>
      </c>
      <c r="H47" s="49">
        <v>226.59</v>
      </c>
      <c r="I47" s="49">
        <f t="shared" si="8"/>
        <v>-6.0824496441199728E-2</v>
      </c>
      <c r="J47" s="88">
        <v>10.72</v>
      </c>
      <c r="K47" s="49">
        <f t="shared" si="9"/>
        <v>-0.23795863709935028</v>
      </c>
    </row>
    <row r="48" spans="1:11" ht="22" customHeight="1">
      <c r="A48" s="87">
        <v>45717</v>
      </c>
      <c r="B48" s="49">
        <v>31.57</v>
      </c>
      <c r="C48" s="49">
        <f t="shared" si="5"/>
        <v>-7.5734031911523702E-3</v>
      </c>
      <c r="D48" s="49">
        <v>29.09</v>
      </c>
      <c r="E48" s="49">
        <f t="shared" si="6"/>
        <v>-2.3778294218080653E-2</v>
      </c>
      <c r="F48" s="49">
        <v>34.020000000000003</v>
      </c>
      <c r="G48" s="49">
        <f t="shared" si="7"/>
        <v>-3.693437697153517E-2</v>
      </c>
      <c r="H48" s="49">
        <v>196.64</v>
      </c>
      <c r="I48" s="49">
        <f t="shared" si="8"/>
        <v>-0.14176757117574162</v>
      </c>
      <c r="J48" s="88">
        <v>10.63</v>
      </c>
      <c r="K48" s="49">
        <f t="shared" si="9"/>
        <v>-8.4309632887994077E-3</v>
      </c>
    </row>
    <row r="49" spans="1:11" ht="22" customHeight="1">
      <c r="A49" s="87">
        <v>45748</v>
      </c>
      <c r="B49" s="49">
        <v>32.840000000000003</v>
      </c>
      <c r="C49" s="49">
        <f t="shared" si="5"/>
        <v>3.9439982014327295E-2</v>
      </c>
      <c r="D49" s="49">
        <v>29.86</v>
      </c>
      <c r="E49" s="49">
        <f t="shared" si="6"/>
        <v>2.6125319603934029E-2</v>
      </c>
      <c r="F49" s="49">
        <v>36.130000000000003</v>
      </c>
      <c r="G49" s="49">
        <f t="shared" si="7"/>
        <v>6.0174958191833196E-2</v>
      </c>
      <c r="H49" s="49">
        <v>193.45</v>
      </c>
      <c r="I49" s="49">
        <f t="shared" si="8"/>
        <v>-1.6355564671202676E-2</v>
      </c>
      <c r="J49" s="88">
        <v>11.17</v>
      </c>
      <c r="K49" s="49">
        <f t="shared" si="9"/>
        <v>4.955142072725266E-2</v>
      </c>
    </row>
    <row r="50" spans="1:11" ht="22" customHeight="1">
      <c r="A50" s="87">
        <v>45778</v>
      </c>
      <c r="B50" s="49">
        <v>32.56</v>
      </c>
      <c r="C50" s="49">
        <f t="shared" si="5"/>
        <v>-8.5627434498879145E-3</v>
      </c>
      <c r="D50" s="49">
        <v>29.04</v>
      </c>
      <c r="E50" s="49">
        <f t="shared" si="6"/>
        <v>-2.7845602154449024E-2</v>
      </c>
      <c r="F50" s="49">
        <v>38</v>
      </c>
      <c r="G50" s="49">
        <f t="shared" si="7"/>
        <v>5.0462614566836747E-2</v>
      </c>
      <c r="H50" s="49">
        <v>214.21</v>
      </c>
      <c r="I50" s="49">
        <f t="shared" si="8"/>
        <v>0.10193776111820296</v>
      </c>
      <c r="J50" s="88">
        <v>11.98</v>
      </c>
      <c r="K50" s="49">
        <f t="shared" si="9"/>
        <v>7.0006979606193953E-2</v>
      </c>
    </row>
    <row r="51" spans="1:11" ht="22" customHeight="1">
      <c r="A51" s="87">
        <v>45809</v>
      </c>
      <c r="B51" s="49">
        <v>33.86</v>
      </c>
      <c r="C51" s="49">
        <f t="shared" si="5"/>
        <v>3.9149835570649556E-2</v>
      </c>
      <c r="D51" s="49">
        <v>29.16</v>
      </c>
      <c r="E51" s="49">
        <f t="shared" si="6"/>
        <v>4.1237171838621562E-3</v>
      </c>
      <c r="F51" s="49">
        <v>39.36</v>
      </c>
      <c r="G51" s="49">
        <f t="shared" si="7"/>
        <v>3.5163912457666972E-2</v>
      </c>
      <c r="H51" s="49">
        <v>228.73</v>
      </c>
      <c r="I51" s="49">
        <f t="shared" si="8"/>
        <v>6.5585426374543426E-2</v>
      </c>
      <c r="J51" s="88">
        <v>12.64</v>
      </c>
      <c r="K51" s="49">
        <f t="shared" si="9"/>
        <v>5.3627796031408076E-2</v>
      </c>
    </row>
    <row r="52" spans="1:11" ht="22" customHeight="1">
      <c r="A52" s="87">
        <v>45839</v>
      </c>
      <c r="B52" s="49">
        <v>33.82</v>
      </c>
      <c r="C52" s="49">
        <f t="shared" si="5"/>
        <v>-1.1820332345549912E-3</v>
      </c>
      <c r="D52" s="49">
        <v>30.72</v>
      </c>
      <c r="E52" s="49">
        <f t="shared" si="6"/>
        <v>5.2116001139013893E-2</v>
      </c>
      <c r="F52" s="49">
        <v>38.909999999999997</v>
      </c>
      <c r="G52" s="49">
        <f t="shared" si="7"/>
        <v>-1.1498785187590507E-2</v>
      </c>
      <c r="H52" s="49">
        <v>217.38</v>
      </c>
      <c r="I52" s="49">
        <f t="shared" si="8"/>
        <v>-5.0895294504227348E-2</v>
      </c>
      <c r="J52" s="88">
        <v>12.25</v>
      </c>
      <c r="K52" s="49">
        <f t="shared" si="9"/>
        <v>-3.1340451727975428E-2</v>
      </c>
    </row>
    <row r="53" spans="1:11" ht="22" customHeight="1">
      <c r="A53" s="87">
        <v>45870</v>
      </c>
      <c r="B53" s="49">
        <v>38.61</v>
      </c>
      <c r="C53" s="49">
        <f t="shared" si="5"/>
        <v>0.13245896680571076</v>
      </c>
      <c r="D53" s="49">
        <v>33.67</v>
      </c>
      <c r="E53" s="49">
        <f t="shared" si="6"/>
        <v>9.1693324893511841E-2</v>
      </c>
      <c r="F53" s="49">
        <v>42.79</v>
      </c>
      <c r="G53" s="49">
        <f t="shared" si="7"/>
        <v>9.5053143432263301E-2</v>
      </c>
      <c r="H53" s="49">
        <v>225.16</v>
      </c>
      <c r="I53" s="49">
        <f t="shared" si="8"/>
        <v>3.5164286460785003E-2</v>
      </c>
      <c r="J53" s="88">
        <v>13.34</v>
      </c>
      <c r="K53" s="49">
        <f t="shared" si="9"/>
        <v>8.5241103496741633E-2</v>
      </c>
    </row>
    <row r="54" spans="1:11" ht="22" customHeight="1">
      <c r="A54" s="87">
        <v>45901</v>
      </c>
      <c r="B54" s="49">
        <v>38.97</v>
      </c>
      <c r="C54" s="49">
        <f t="shared" si="5"/>
        <v>9.2808090744727831E-3</v>
      </c>
      <c r="D54" s="49">
        <v>33.21</v>
      </c>
      <c r="E54" s="49">
        <f t="shared" si="6"/>
        <v>-1.3756197784327949E-2</v>
      </c>
      <c r="F54" s="49">
        <v>44.15</v>
      </c>
      <c r="G54" s="49">
        <f t="shared" si="7"/>
        <v>3.1288496621243445E-2</v>
      </c>
      <c r="H54" s="49">
        <v>219.33</v>
      </c>
      <c r="I54" s="49">
        <f t="shared" si="8"/>
        <v>-2.6233815622491528E-2</v>
      </c>
      <c r="J54" s="88">
        <v>13.07</v>
      </c>
      <c r="K54" s="49">
        <f t="shared" si="9"/>
        <v>-2.0447512851347081E-2</v>
      </c>
    </row>
    <row r="55" spans="1:11" ht="22" customHeight="1">
      <c r="A55" s="87">
        <v>45931</v>
      </c>
      <c r="B55" s="49">
        <v>38.74</v>
      </c>
      <c r="C55" s="49">
        <f t="shared" si="5"/>
        <v>-5.9194613717679341E-3</v>
      </c>
      <c r="D55" s="49">
        <v>36.65</v>
      </c>
      <c r="E55" s="49">
        <f t="shared" si="6"/>
        <v>9.8562392944005164E-2</v>
      </c>
      <c r="F55" s="49">
        <v>43.62</v>
      </c>
      <c r="G55" s="49">
        <f t="shared" si="7"/>
        <v>-1.2077166276486058E-2</v>
      </c>
      <c r="H55" s="49">
        <v>218.56</v>
      </c>
      <c r="I55" s="49">
        <f t="shared" si="8"/>
        <v>-3.5168685909089921E-3</v>
      </c>
      <c r="J55" s="88">
        <v>12.65</v>
      </c>
      <c r="K55" s="49">
        <f t="shared" si="9"/>
        <v>-3.2662312462601338E-2</v>
      </c>
    </row>
    <row r="56" spans="1:11" ht="22" customHeight="1">
      <c r="A56" s="87">
        <v>45962</v>
      </c>
      <c r="B56" s="49">
        <v>37.590000000000003</v>
      </c>
      <c r="C56" s="49">
        <f t="shared" si="5"/>
        <v>-3.0134600402763102E-2</v>
      </c>
      <c r="D56" s="49">
        <v>34.64</v>
      </c>
      <c r="E56" s="49">
        <f t="shared" si="6"/>
        <v>-5.640434463842605E-2</v>
      </c>
      <c r="F56" s="49">
        <v>40.1</v>
      </c>
      <c r="G56" s="49">
        <f t="shared" si="7"/>
        <v>-8.4139426460959427E-2</v>
      </c>
      <c r="H56" s="49">
        <v>197.04</v>
      </c>
      <c r="I56" s="49">
        <f t="shared" si="8"/>
        <v>-0.10365382257014284</v>
      </c>
      <c r="J56" s="88">
        <v>10.24</v>
      </c>
      <c r="K56" s="49">
        <f t="shared" si="9"/>
        <v>-0.21135559556216754</v>
      </c>
    </row>
    <row r="57" spans="1:11" ht="22" customHeight="1">
      <c r="A57" s="87">
        <v>45992</v>
      </c>
      <c r="B57" s="49">
        <v>38.6</v>
      </c>
      <c r="C57" s="49">
        <f t="shared" si="5"/>
        <v>2.6514218894698426E-2</v>
      </c>
      <c r="D57" s="49">
        <v>36.340000000000003</v>
      </c>
      <c r="E57" s="49">
        <f t="shared" si="6"/>
        <v>4.7909979273790773E-2</v>
      </c>
      <c r="F57" s="49">
        <v>42.31</v>
      </c>
      <c r="G57" s="49">
        <f t="shared" si="7"/>
        <v>5.3647130419452606E-2</v>
      </c>
      <c r="H57" s="49">
        <v>203.2</v>
      </c>
      <c r="I57" s="49">
        <f t="shared" si="8"/>
        <v>3.0783961892044319E-2</v>
      </c>
      <c r="J57" s="88">
        <v>10.52</v>
      </c>
      <c r="K57" s="49">
        <f t="shared" si="9"/>
        <v>2.6976587698202076E-2</v>
      </c>
    </row>
    <row r="58" spans="1:11" ht="22" customHeight="1">
      <c r="A58" s="87">
        <v>46023</v>
      </c>
      <c r="B58" s="49">
        <v>38.82</v>
      </c>
      <c r="C58" s="49">
        <f t="shared" si="5"/>
        <v>5.6833012700789522E-3</v>
      </c>
      <c r="D58" s="49">
        <v>36.700000000000003</v>
      </c>
      <c r="E58" s="49">
        <f t="shared" si="6"/>
        <v>9.8576920924995318E-3</v>
      </c>
      <c r="F58" s="49">
        <v>43.37</v>
      </c>
      <c r="G58" s="49">
        <f t="shared" si="7"/>
        <v>2.4744493115298635E-2</v>
      </c>
      <c r="H58" s="49">
        <v>212.18</v>
      </c>
      <c r="I58" s="49">
        <f t="shared" si="8"/>
        <v>4.3244255326798646E-2</v>
      </c>
      <c r="J58" s="88">
        <v>10.97</v>
      </c>
      <c r="K58" s="49">
        <f t="shared" si="9"/>
        <v>4.1886066977575243E-2</v>
      </c>
    </row>
    <row r="59" spans="1:11" ht="22" customHeight="1">
      <c r="A59" s="87">
        <v>46054</v>
      </c>
      <c r="B59" s="49">
        <v>42.54</v>
      </c>
      <c r="C59" s="49">
        <f t="shared" si="5"/>
        <v>9.1509232031226906E-2</v>
      </c>
      <c r="D59" s="49">
        <v>40.04</v>
      </c>
      <c r="E59" s="49">
        <f t="shared" si="6"/>
        <v>8.710219938649516E-2</v>
      </c>
      <c r="F59" s="49">
        <v>49.02</v>
      </c>
      <c r="G59" s="49">
        <f t="shared" si="7"/>
        <v>0.12246042025269176</v>
      </c>
      <c r="H59" s="49">
        <v>213.48</v>
      </c>
      <c r="I59" s="49">
        <f t="shared" si="8"/>
        <v>6.108180434618549E-3</v>
      </c>
      <c r="J59" s="88">
        <v>10.71</v>
      </c>
      <c r="K59" s="49">
        <f t="shared" si="9"/>
        <v>-2.3986389827481473E-2</v>
      </c>
    </row>
    <row r="60" spans="1:11" ht="22" customHeight="1">
      <c r="A60" s="87">
        <v>46082</v>
      </c>
      <c r="B60" s="49">
        <v>39.47</v>
      </c>
      <c r="C60" s="49">
        <f t="shared" si="5"/>
        <v>-7.4903920097335389E-2</v>
      </c>
      <c r="D60" s="49">
        <v>35.97</v>
      </c>
      <c r="E60" s="49">
        <f t="shared" si="6"/>
        <v>-0.10719369673948724</v>
      </c>
      <c r="F60" s="49">
        <v>41.44</v>
      </c>
      <c r="G60" s="49">
        <f t="shared" si="7"/>
        <v>-0.16798178014873899</v>
      </c>
      <c r="H60" s="49">
        <v>201.93</v>
      </c>
      <c r="I60" s="49">
        <f t="shared" si="8"/>
        <v>-5.5622048775012534E-2</v>
      </c>
      <c r="J60" s="88">
        <v>9.89</v>
      </c>
      <c r="K60" s="49">
        <f t="shared" si="9"/>
        <v>-7.9653738825036721E-2</v>
      </c>
    </row>
    <row r="61" spans="1:11" ht="22" customHeight="1">
      <c r="A61" s="87">
        <v>46113</v>
      </c>
      <c r="B61" s="49">
        <v>38.5</v>
      </c>
      <c r="C61" s="49">
        <f t="shared" si="5"/>
        <v>-2.4882648381017194E-2</v>
      </c>
      <c r="D61" s="49">
        <v>36.65</v>
      </c>
      <c r="E61" s="49">
        <f t="shared" si="6"/>
        <v>1.8728170625128025E-2</v>
      </c>
      <c r="F61" s="49">
        <v>39.880000000000003</v>
      </c>
      <c r="G61" s="49">
        <f t="shared" si="7"/>
        <v>-3.8371652857589901E-2</v>
      </c>
      <c r="H61" s="49">
        <v>235.08</v>
      </c>
      <c r="I61" s="49">
        <f t="shared" si="8"/>
        <v>0.15200477905371826</v>
      </c>
      <c r="J61" s="88">
        <v>10.69</v>
      </c>
      <c r="K61" s="49">
        <f t="shared" si="9"/>
        <v>7.7784579402333062E-2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K18"/>
  <sheetViews>
    <sheetView workbookViewId="0">
      <selection sqref="A1:E12"/>
    </sheetView>
  </sheetViews>
  <sheetFormatPr baseColWidth="10" defaultRowHeight="16"/>
  <cols>
    <col min="1" max="1" width="38" bestFit="1" customWidth="1"/>
    <col min="2" max="2" width="19.6640625" bestFit="1" customWidth="1"/>
    <col min="3" max="3" width="10.6640625" customWidth="1"/>
    <col min="4" max="4" width="13.83203125" bestFit="1" customWidth="1"/>
    <col min="5" max="5" width="23" bestFit="1" customWidth="1"/>
  </cols>
  <sheetData>
    <row r="1" spans="1:11" ht="22" customHeight="1">
      <c r="A1" s="3" t="s">
        <v>141</v>
      </c>
      <c r="B1" s="3" t="s">
        <v>126</v>
      </c>
      <c r="C1" s="3" t="s">
        <v>142</v>
      </c>
      <c r="D1" s="3" t="s">
        <v>143</v>
      </c>
      <c r="E1" s="3" t="s">
        <v>144</v>
      </c>
    </row>
    <row r="2" spans="1:11" ht="22" customHeight="1">
      <c r="A2" s="3" t="s">
        <v>145</v>
      </c>
      <c r="B2" s="10">
        <f>SLOPE('Peer Return Sheet'!C3:C61,'BETA EST. FROM PRICE DATA'!E4:E62)</f>
        <v>1.1302012079727075</v>
      </c>
      <c r="C2" s="10">
        <v>2.91</v>
      </c>
      <c r="D2" s="10">
        <v>0.3</v>
      </c>
      <c r="E2" s="10">
        <f>B2/(1+(1-D2)*C2)</f>
        <v>0.37214396047833637</v>
      </c>
    </row>
    <row r="3" spans="1:11" ht="22" customHeight="1">
      <c r="A3" s="3"/>
      <c r="B3" s="10"/>
      <c r="C3" s="10"/>
      <c r="D3" s="10"/>
      <c r="E3" s="10"/>
    </row>
    <row r="4" spans="1:11" ht="22" customHeight="1">
      <c r="A4" s="3" t="s">
        <v>146</v>
      </c>
      <c r="B4" s="10">
        <f>SLOPE('Peer Return Sheet'!E3:E61,'BETA EST. FROM PRICE DATA'!E4:E62)</f>
        <v>0.94592552228170657</v>
      </c>
      <c r="C4" s="10">
        <v>3.09</v>
      </c>
      <c r="D4" s="10">
        <v>0.3</v>
      </c>
      <c r="E4" s="10">
        <f>B4/(1+(1-D4)*C4)</f>
        <v>0.29905960236538304</v>
      </c>
    </row>
    <row r="5" spans="1:11" ht="22" customHeight="1">
      <c r="A5" s="3"/>
      <c r="B5" s="10"/>
      <c r="C5" s="10"/>
      <c r="D5" s="10"/>
      <c r="E5" s="10"/>
    </row>
    <row r="6" spans="1:11" ht="22" customHeight="1">
      <c r="A6" s="3" t="s">
        <v>147</v>
      </c>
      <c r="B6" s="10">
        <f>SLOPE('Peer Return Sheet'!G3:G61,'BETA EST. FROM PRICE DATA'!E4:E62)</f>
        <v>1.329253687683273</v>
      </c>
      <c r="C6" s="10">
        <v>4.82</v>
      </c>
      <c r="D6" s="10">
        <v>0.3</v>
      </c>
      <c r="E6" s="10">
        <f>B6/(1+(1-D6)*C6)</f>
        <v>0.3038988769280459</v>
      </c>
    </row>
    <row r="7" spans="1:11" ht="22" customHeight="1">
      <c r="A7" s="3"/>
      <c r="B7" s="10"/>
      <c r="C7" s="10"/>
      <c r="D7" s="10"/>
      <c r="E7" s="10"/>
    </row>
    <row r="8" spans="1:11" ht="22" customHeight="1">
      <c r="A8" s="3" t="s">
        <v>148</v>
      </c>
      <c r="B8" s="10">
        <f>SLOPE('Peer Return Sheet'!I3:I61,'BETA EST. FROM PRICE DATA'!E4:E62)</f>
        <v>1.4516578388814976</v>
      </c>
      <c r="C8" s="10">
        <v>4.88</v>
      </c>
      <c r="D8" s="10">
        <v>0.3</v>
      </c>
      <c r="E8" s="10">
        <f>B8/(1+(1-D8)*C8)</f>
        <v>0.32872686568874487</v>
      </c>
    </row>
    <row r="9" spans="1:11" ht="22" customHeight="1">
      <c r="A9" s="3"/>
      <c r="B9" s="10"/>
      <c r="C9" s="10"/>
      <c r="D9" s="10"/>
      <c r="E9" s="10"/>
    </row>
    <row r="10" spans="1:11" ht="22" customHeight="1">
      <c r="A10" s="3" t="s">
        <v>149</v>
      </c>
      <c r="B10" s="10">
        <f>SLOPE('Peer Return Sheet'!K3:K61,'BETA EST. FROM PRICE DATA'!E4:E62)</f>
        <v>1.3885923830730444</v>
      </c>
      <c r="C10" s="10">
        <v>1.43</v>
      </c>
      <c r="D10" s="10">
        <v>0.3</v>
      </c>
      <c r="E10" s="10">
        <f>B10/(1+(1-D10)*C10)</f>
        <v>0.69394921692805822</v>
      </c>
      <c r="K10" s="10"/>
    </row>
    <row r="12" spans="1:11" ht="22" customHeight="1">
      <c r="A12" s="12" t="s">
        <v>150</v>
      </c>
      <c r="B12" s="11"/>
      <c r="C12" s="11"/>
      <c r="D12" s="11"/>
      <c r="E12" s="11">
        <f>+AVERAGE(Table35[UNLEVERED BETA])</f>
        <v>0.39955570447771366</v>
      </c>
    </row>
    <row r="13" spans="1:11" ht="22" customHeight="1">
      <c r="A13" s="3" t="s">
        <v>151</v>
      </c>
      <c r="B13" s="10">
        <v>2.88</v>
      </c>
    </row>
    <row r="14" spans="1:11" ht="22" customHeight="1">
      <c r="A14" s="3" t="s">
        <v>81</v>
      </c>
      <c r="B14" s="5">
        <v>0.3</v>
      </c>
    </row>
    <row r="15" spans="1:11" ht="22" customHeight="1">
      <c r="A15" s="3" t="s">
        <v>152</v>
      </c>
      <c r="B15" s="10">
        <f>E12</f>
        <v>0.39955570447771366</v>
      </c>
    </row>
    <row r="16" spans="1:11" ht="22" customHeight="1">
      <c r="A16" s="13" t="s">
        <v>153</v>
      </c>
      <c r="B16" s="14">
        <f>E12*(1+(1-B14)*B13)</f>
        <v>1.2050600047047844</v>
      </c>
    </row>
    <row r="17" spans="1:2" ht="22" customHeight="1">
      <c r="A17" s="3" t="s">
        <v>154</v>
      </c>
      <c r="B17" s="10">
        <v>1.2384389440000001</v>
      </c>
    </row>
    <row r="18" spans="1:2" ht="22" customHeight="1">
      <c r="A18" s="3" t="s">
        <v>155</v>
      </c>
      <c r="B18" s="10">
        <v>0.41062299200000002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J39"/>
  <sheetViews>
    <sheetView workbookViewId="0">
      <selection activeCell="A5" sqref="A5:B7"/>
    </sheetView>
  </sheetViews>
  <sheetFormatPr baseColWidth="10" defaultRowHeight="22"/>
  <cols>
    <col min="1" max="1" width="36.6640625" style="10" bestFit="1" customWidth="1"/>
    <col min="2" max="2" width="16.5" style="10" customWidth="1"/>
    <col min="3" max="3" width="19.5" style="10" bestFit="1" customWidth="1"/>
    <col min="4" max="7" width="10.83203125" style="10" customWidth="1"/>
    <col min="8" max="8" width="30.6640625" style="10" bestFit="1" customWidth="1"/>
    <col min="9" max="9" width="16" style="10" customWidth="1"/>
    <col min="10" max="10" width="19.1640625" style="10" customWidth="1"/>
    <col min="11" max="11" width="10.83203125" style="10" customWidth="1"/>
    <col min="12" max="16384" width="10.83203125" style="10"/>
  </cols>
  <sheetData>
    <row r="1" spans="1:10">
      <c r="A1" s="3" t="s">
        <v>156</v>
      </c>
      <c r="B1" s="10" t="s">
        <v>157</v>
      </c>
    </row>
    <row r="2" spans="1:10">
      <c r="A2" s="17" t="s">
        <v>158</v>
      </c>
      <c r="B2" s="10">
        <v>0.06</v>
      </c>
    </row>
    <row r="3" spans="1:10">
      <c r="A3" s="3" t="s">
        <v>159</v>
      </c>
      <c r="B3" s="10">
        <f>'BETA EST. FROM PRICE DATA'!C64</f>
        <v>1.238438944035229</v>
      </c>
    </row>
    <row r="4" spans="1:10">
      <c r="A4" s="3" t="s">
        <v>160</v>
      </c>
      <c r="B4" s="10">
        <f>'Peer Betas'!B16</f>
        <v>1.2050600047047844</v>
      </c>
    </row>
    <row r="5" spans="1:10">
      <c r="A5" s="3" t="s">
        <v>161</v>
      </c>
      <c r="B5" s="10">
        <f>DDM!B8</f>
        <v>7.1873373728261747E-2</v>
      </c>
    </row>
    <row r="6" spans="1:10">
      <c r="A6" s="3" t="s">
        <v>162</v>
      </c>
      <c r="B6" s="10">
        <v>2.2249999999999999E-2</v>
      </c>
    </row>
    <row r="7" spans="1:10">
      <c r="A7" s="3" t="s">
        <v>163</v>
      </c>
      <c r="B7" s="10">
        <v>4.95</v>
      </c>
    </row>
    <row r="8" spans="1:10">
      <c r="A8" s="26" t="s">
        <v>92</v>
      </c>
      <c r="B8" s="10">
        <f>('CBA TAX RATE'!D10/'CBA TAX RATE'!D6)^(1/4)-1</f>
        <v>7.1873373728261747E-2</v>
      </c>
      <c r="C8" s="27" t="s">
        <v>190</v>
      </c>
    </row>
    <row r="9" spans="1:10">
      <c r="A9" s="3" t="s">
        <v>164</v>
      </c>
    </row>
    <row r="11" spans="1:10">
      <c r="A11" s="15" t="s">
        <v>165</v>
      </c>
      <c r="B11" s="16">
        <f>B1+B3*B2</f>
        <v>0.12466633664211374</v>
      </c>
    </row>
    <row r="12" spans="1:10">
      <c r="A12" s="15" t="s">
        <v>166</v>
      </c>
      <c r="B12" s="16">
        <f>B1+B4*B2</f>
        <v>0.12266360028228707</v>
      </c>
    </row>
    <row r="14" spans="1:10">
      <c r="A14" s="3" t="s">
        <v>167</v>
      </c>
      <c r="H14" s="3" t="s">
        <v>168</v>
      </c>
    </row>
    <row r="15" spans="1:10">
      <c r="A15" s="3" t="s">
        <v>169</v>
      </c>
      <c r="B15" s="3" t="s">
        <v>170</v>
      </c>
      <c r="C15" s="3" t="s">
        <v>171</v>
      </c>
      <c r="H15" s="3" t="s">
        <v>169</v>
      </c>
      <c r="I15" s="3" t="s">
        <v>172</v>
      </c>
      <c r="J15" s="3" t="s">
        <v>171</v>
      </c>
    </row>
    <row r="16" spans="1:10">
      <c r="A16" s="3">
        <v>1</v>
      </c>
      <c r="B16" s="10">
        <f>B7*(1+B5)</f>
        <v>5.3057731999548956</v>
      </c>
      <c r="C16" s="10">
        <f>B16/(1+B11)^A16</f>
        <v>4.7176420482151187</v>
      </c>
      <c r="H16" s="10">
        <v>1</v>
      </c>
      <c r="I16" s="10">
        <f>B7*(1+B5)</f>
        <v>5.3057731999548956</v>
      </c>
      <c r="J16" s="10">
        <f>I16/(1+B12)^H16</f>
        <v>4.7260579203073743</v>
      </c>
    </row>
    <row r="17" spans="1:10">
      <c r="A17" s="3">
        <v>2</v>
      </c>
      <c r="B17" s="10">
        <f>B16*(1+B5)</f>
        <v>5.6871170200726491</v>
      </c>
      <c r="C17" s="10">
        <f>B17/(1+B11)^(A17)</f>
        <v>4.4961912111287559</v>
      </c>
      <c r="H17" s="10">
        <v>2</v>
      </c>
      <c r="I17" s="10">
        <f>I16*(1+B5)</f>
        <v>5.6871170200726491</v>
      </c>
      <c r="J17" s="10">
        <f>I17/(1+B12)^H17</f>
        <v>4.5122471648687004</v>
      </c>
    </row>
    <row r="18" spans="1:10">
      <c r="A18" s="3">
        <v>3</v>
      </c>
      <c r="B18" s="10">
        <f>B17*(1+B5)</f>
        <v>6.0958693070926886</v>
      </c>
      <c r="C18" s="10">
        <f>B18/(1+B11)^(A18)</f>
        <v>4.2851354978659151</v>
      </c>
      <c r="H18" s="10">
        <v>3</v>
      </c>
      <c r="I18" s="10">
        <f>I17*(1+B5)</f>
        <v>6.0958693070926886</v>
      </c>
      <c r="J18" s="10">
        <f>I18/(1+B12)^H18</f>
        <v>4.3081093842246894</v>
      </c>
    </row>
    <row r="19" spans="1:10">
      <c r="A19" s="3">
        <v>4</v>
      </c>
      <c r="B19" s="10">
        <f>B18*(1+B5)</f>
        <v>6.5340000000000016</v>
      </c>
      <c r="C19" s="10">
        <f>B19/(1+B11)^A19</f>
        <v>4.0839869509154481</v>
      </c>
      <c r="H19" s="10">
        <v>4</v>
      </c>
      <c r="I19" s="10">
        <f>I18*(1+B5)</f>
        <v>6.5340000000000016</v>
      </c>
      <c r="J19" s="10">
        <f>I19/(1+B12)^H19</f>
        <v>4.113206965023358</v>
      </c>
    </row>
    <row r="20" spans="1:10">
      <c r="A20" s="3">
        <v>5</v>
      </c>
      <c r="B20" s="10">
        <f>B19*(1+B5)</f>
        <v>7.0036206239404644</v>
      </c>
      <c r="C20" s="10">
        <f>B20/(1+B11)^(A20)</f>
        <v>3.892280517979914</v>
      </c>
      <c r="H20" s="10">
        <v>5</v>
      </c>
      <c r="I20" s="10">
        <f>I19*(1+B5)</f>
        <v>7.0036206239404644</v>
      </c>
      <c r="J20" s="10">
        <f>I20/(1+B12)^H20</f>
        <v>3.9271220919014342</v>
      </c>
    </row>
    <row r="22" spans="1:10">
      <c r="A22" s="3" t="s">
        <v>173</v>
      </c>
      <c r="B22" s="10">
        <f>B20*(1+B6)</f>
        <v>7.1594511828231404</v>
      </c>
    </row>
    <row r="23" spans="1:10">
      <c r="A23" s="3" t="s">
        <v>174</v>
      </c>
      <c r="B23" s="10">
        <f>B22/(B11-B6)</f>
        <v>69.905362928975961</v>
      </c>
    </row>
    <row r="24" spans="1:10">
      <c r="A24" s="3" t="s">
        <v>175</v>
      </c>
      <c r="B24" s="10">
        <f>B23/(1+B11)^5</f>
        <v>38.850088667093026</v>
      </c>
    </row>
    <row r="26" spans="1:10">
      <c r="A26" s="3" t="s">
        <v>176</v>
      </c>
      <c r="B26" s="10">
        <f>SUM(Table7[PV of Dividend])</f>
        <v>21.475236226105153</v>
      </c>
    </row>
    <row r="27" spans="1:10">
      <c r="A27" s="3" t="s">
        <v>177</v>
      </c>
      <c r="B27" s="10">
        <f>B24</f>
        <v>38.850088667093026</v>
      </c>
    </row>
    <row r="28" spans="1:10">
      <c r="A28" s="3" t="s">
        <v>178</v>
      </c>
      <c r="B28" s="10">
        <f>B26+B27</f>
        <v>60.325324893198179</v>
      </c>
    </row>
    <row r="29" spans="1:10">
      <c r="A29" s="3" t="s">
        <v>179</v>
      </c>
      <c r="B29" s="10">
        <v>174.49</v>
      </c>
    </row>
    <row r="30" spans="1:10">
      <c r="A30" s="3" t="s">
        <v>180</v>
      </c>
      <c r="B30" s="10">
        <f>(B28-B29)/B29</f>
        <v>-0.65427632017194015</v>
      </c>
    </row>
    <row r="32" spans="1:10">
      <c r="A32" s="3" t="s">
        <v>181</v>
      </c>
      <c r="B32" s="10">
        <f>I20*(1+B6)</f>
        <v>7.1594511828231404</v>
      </c>
    </row>
    <row r="33" spans="1:2">
      <c r="A33" s="3" t="s">
        <v>182</v>
      </c>
      <c r="B33" s="10">
        <f>B32/(B12-B6)</f>
        <v>71.299616413475661</v>
      </c>
    </row>
    <row r="34" spans="1:2">
      <c r="A34" s="3" t="s">
        <v>183</v>
      </c>
      <c r="B34" s="10">
        <f>B33/(1+B12)^5</f>
        <v>39.979649640691129</v>
      </c>
    </row>
    <row r="36" spans="1:2">
      <c r="A36" s="3" t="s">
        <v>184</v>
      </c>
      <c r="B36" s="10">
        <f>SUM(J16:J20)</f>
        <v>21.586743526325556</v>
      </c>
    </row>
    <row r="37" spans="1:2">
      <c r="A37" s="3" t="s">
        <v>175</v>
      </c>
      <c r="B37" s="10">
        <f>B34</f>
        <v>39.979649640691129</v>
      </c>
    </row>
    <row r="38" spans="1:2">
      <c r="A38" s="3" t="s">
        <v>185</v>
      </c>
      <c r="B38" s="10">
        <f>B36+B37</f>
        <v>61.566393167016685</v>
      </c>
    </row>
    <row r="39" spans="1:2">
      <c r="A39" s="3" t="s">
        <v>186</v>
      </c>
      <c r="B39" s="10">
        <f>(B38-B29)/B29</f>
        <v>-0.64716377347116349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O39"/>
  <sheetViews>
    <sheetView workbookViewId="0">
      <pane xSplit="2" ySplit="4" topLeftCell="C11" activePane="bottomRight" state="frozen"/>
      <selection pane="topRight"/>
      <selection pane="bottomLeft"/>
      <selection pane="bottomRight" activeCell="O12" sqref="O12"/>
    </sheetView>
  </sheetViews>
  <sheetFormatPr baseColWidth="10" defaultColWidth="8.83203125" defaultRowHeight="16"/>
  <cols>
    <col min="1" max="1" width="3" customWidth="1"/>
    <col min="2" max="2" width="10" customWidth="1"/>
    <col min="3" max="15" width="9" customWidth="1"/>
  </cols>
  <sheetData>
    <row r="1" spans="1:15" ht="24" customHeight="1">
      <c r="A1" s="102" t="s">
        <v>187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2" spans="1:15" ht="16" customHeight="1">
      <c r="A2" s="105" t="s">
        <v>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spans="1:15">
      <c r="A3" s="18" t="s">
        <v>1</v>
      </c>
      <c r="B3" s="19" t="s">
        <v>2</v>
      </c>
      <c r="C3" s="106" t="s">
        <v>3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20"/>
    </row>
    <row r="4" spans="1:15" ht="16" customHeight="1">
      <c r="B4" s="20"/>
      <c r="C4" s="21">
        <v>4.187337E-2</v>
      </c>
      <c r="D4" s="21">
        <v>4.6873369999999998E-2</v>
      </c>
      <c r="E4" s="21">
        <v>5.1873370000000002E-2</v>
      </c>
      <c r="F4" s="21">
        <v>5.6873369999999999E-2</v>
      </c>
      <c r="G4" s="21">
        <v>6.1873369999999997E-2</v>
      </c>
      <c r="H4" s="21">
        <v>6.6873370000000001E-2</v>
      </c>
      <c r="I4" s="22">
        <v>7.1873370000000006E-2</v>
      </c>
      <c r="J4" s="21">
        <v>7.6873369999999996E-2</v>
      </c>
      <c r="K4" s="21">
        <v>8.1873370000000001E-2</v>
      </c>
      <c r="L4" s="21">
        <v>8.6873370000000005E-2</v>
      </c>
      <c r="M4" s="21">
        <v>9.1873369999999996E-2</v>
      </c>
      <c r="N4" s="21">
        <v>9.687337E-2</v>
      </c>
      <c r="O4" s="21">
        <v>0.10187337</v>
      </c>
    </row>
    <row r="5" spans="1:15" ht="16" customHeight="1">
      <c r="A5" s="18"/>
      <c r="B5" s="23">
        <v>-7.7499999999999999E-3</v>
      </c>
      <c r="C5" s="24">
        <v>45.098805682517323</v>
      </c>
      <c r="D5" s="24">
        <v>45.984023292868493</v>
      </c>
      <c r="E5" s="24">
        <v>46.884403969925707</v>
      </c>
      <c r="F5" s="24">
        <v>47.800153034747993</v>
      </c>
      <c r="G5" s="24">
        <v>48.731477698093002</v>
      </c>
      <c r="H5" s="24">
        <v>49.678587069178732</v>
      </c>
      <c r="I5" s="24">
        <v>50.641692164445708</v>
      </c>
      <c r="J5" s="24">
        <v>51.621005916318687</v>
      </c>
      <c r="K5" s="24">
        <v>52.616743181968808</v>
      </c>
      <c r="L5" s="24">
        <v>53.629120752075288</v>
      </c>
      <c r="M5" s="24">
        <v>54.658357359587683</v>
      </c>
      <c r="N5" s="24">
        <v>55.704673688487389</v>
      </c>
      <c r="O5" s="24">
        <v>56.768292382550086</v>
      </c>
    </row>
    <row r="6" spans="1:15" ht="16" customHeight="1">
      <c r="A6" s="18"/>
      <c r="B6" s="23">
        <v>-2.7499999999999998E-3</v>
      </c>
      <c r="C6" s="24">
        <v>46.224416930575053</v>
      </c>
      <c r="D6" s="24">
        <v>47.136904336302507</v>
      </c>
      <c r="E6" s="24">
        <v>48.065080791061618</v>
      </c>
      <c r="F6" s="24">
        <v>49.009159188381027</v>
      </c>
      <c r="G6" s="24">
        <v>49.969354383821411</v>
      </c>
      <c r="H6" s="24">
        <v>50.945883204080879</v>
      </c>
      <c r="I6" s="24">
        <v>51.938964456101132</v>
      </c>
      <c r="J6" s="24">
        <v>52.948818936172863</v>
      </c>
      <c r="K6" s="24">
        <v>53.975669439041837</v>
      </c>
      <c r="L6" s="24">
        <v>55.019740767014383</v>
      </c>
      <c r="M6" s="24">
        <v>56.081259739063462</v>
      </c>
      <c r="N6" s="24">
        <v>57.16045519993402</v>
      </c>
      <c r="O6" s="24">
        <v>58.25755802924931</v>
      </c>
    </row>
    <row r="7" spans="1:15" ht="16" customHeight="1">
      <c r="A7" s="18"/>
      <c r="B7" s="23">
        <v>2.2499999999999998E-3</v>
      </c>
      <c r="C7" s="24">
        <v>47.441977609481029</v>
      </c>
      <c r="D7" s="24">
        <v>48.383962437723852</v>
      </c>
      <c r="E7" s="24">
        <v>49.342205264001393</v>
      </c>
      <c r="F7" s="24">
        <v>50.316927172895227</v>
      </c>
      <c r="G7" s="24">
        <v>51.308351289261068</v>
      </c>
      <c r="H7" s="24">
        <v>52.316702787706141</v>
      </c>
      <c r="I7" s="24">
        <v>53.342208902067178</v>
      </c>
      <c r="J7" s="24">
        <v>54.385098934887793</v>
      </c>
      <c r="K7" s="24">
        <v>55.445604266896517</v>
      </c>
      <c r="L7" s="24">
        <v>56.523958366484088</v>
      </c>
      <c r="M7" s="24">
        <v>57.620396799181577</v>
      </c>
      <c r="N7" s="24">
        <v>58.735157237137592</v>
      </c>
      <c r="O7" s="24">
        <v>59.868479468596448</v>
      </c>
    </row>
    <row r="8" spans="1:15" ht="16" customHeight="1">
      <c r="A8" s="18"/>
      <c r="B8" s="23">
        <v>7.2500000000000004E-3</v>
      </c>
      <c r="C8" s="24">
        <v>48.763234308357312</v>
      </c>
      <c r="D8" s="24">
        <v>49.737228766816678</v>
      </c>
      <c r="E8" s="24">
        <v>50.72809862800743</v>
      </c>
      <c r="F8" s="24">
        <v>51.736073865171683</v>
      </c>
      <c r="G8" s="24">
        <v>52.761386576731432</v>
      </c>
      <c r="H8" s="24">
        <v>53.804270996169542</v>
      </c>
      <c r="I8" s="24">
        <v>54.864963501911411</v>
      </c>
      <c r="J8" s="24">
        <v>55.943702627205823</v>
      </c>
      <c r="K8" s="24">
        <v>57.040729070006627</v>
      </c>
      <c r="L8" s="24">
        <v>58.156285702853673</v>
      </c>
      <c r="M8" s="24">
        <v>59.290617582754393</v>
      </c>
      <c r="N8" s="24">
        <v>60.443971961064769</v>
      </c>
      <c r="O8" s="24">
        <v>61.616598293370963</v>
      </c>
    </row>
    <row r="9" spans="1:15" ht="16" customHeight="1">
      <c r="A9" s="18"/>
      <c r="B9" s="23">
        <v>1.225E-2</v>
      </c>
      <c r="C9" s="24">
        <v>50.202023452994347</v>
      </c>
      <c r="D9" s="24">
        <v>51.210874959685583</v>
      </c>
      <c r="E9" s="24">
        <v>52.237274195065893</v>
      </c>
      <c r="F9" s="24">
        <v>53.281460811729069</v>
      </c>
      <c r="G9" s="24">
        <v>54.343676679907389</v>
      </c>
      <c r="H9" s="24">
        <v>55.424165897792072</v>
      </c>
      <c r="I9" s="24">
        <v>56.523174801854367</v>
      </c>
      <c r="J9" s="24">
        <v>57.64095197716604</v>
      </c>
      <c r="K9" s="24">
        <v>58.777748267720469</v>
      </c>
      <c r="L9" s="24">
        <v>59.933816786753013</v>
      </c>
      <c r="M9" s="24">
        <v>61.109412927062237</v>
      </c>
      <c r="N9" s="24">
        <v>62.304794371330217</v>
      </c>
      <c r="O9" s="24">
        <v>63.520221102443848</v>
      </c>
    </row>
    <row r="10" spans="1:15" ht="16" customHeight="1">
      <c r="A10" s="18"/>
      <c r="B10" s="23">
        <v>1.7250000000000001E-2</v>
      </c>
      <c r="C10" s="24">
        <v>51.774757692915998</v>
      </c>
      <c r="D10" s="24">
        <v>52.821711289452153</v>
      </c>
      <c r="E10" s="24">
        <v>53.88694753129667</v>
      </c>
      <c r="F10" s="24">
        <v>54.970716651501142</v>
      </c>
      <c r="G10" s="24">
        <v>56.073271201821711</v>
      </c>
      <c r="H10" s="24">
        <v>57.194866063519939</v>
      </c>
      <c r="I10" s="24">
        <v>58.335758458164342</v>
      </c>
      <c r="J10" s="24">
        <v>59.496207958431199</v>
      </c>
      <c r="K10" s="24">
        <v>60.676476498906133</v>
      </c>
      <c r="L10" s="24">
        <v>61.876828386884881</v>
      </c>
      <c r="M10" s="24">
        <v>63.0975303131749</v>
      </c>
      <c r="N10" s="24">
        <v>64.338851362896108</v>
      </c>
      <c r="O10" s="24">
        <v>65.60106302628256</v>
      </c>
    </row>
    <row r="11" spans="1:15" ht="16" customHeight="1">
      <c r="A11" s="18" t="s">
        <v>1</v>
      </c>
      <c r="B11" s="25">
        <v>2.2249999999999999E-2</v>
      </c>
      <c r="C11" s="24">
        <v>53.501054761925161</v>
      </c>
      <c r="D11" s="24">
        <v>54.589830761988118</v>
      </c>
      <c r="E11" s="24">
        <v>55.69769608173177</v>
      </c>
      <c r="F11" s="24">
        <v>56.824912567748527</v>
      </c>
      <c r="G11" s="24">
        <v>57.971744496269572</v>
      </c>
      <c r="H11" s="24">
        <v>59.138458584493073</v>
      </c>
      <c r="I11" s="24">
        <v>60.325324001912982</v>
      </c>
      <c r="J11" s="24">
        <v>61.532612381647233</v>
      </c>
      <c r="K11" s="24">
        <v>62.760597831766567</v>
      </c>
      <c r="L11" s="24">
        <v>64.009556946622681</v>
      </c>
      <c r="M11" s="24">
        <v>65.279768818177118</v>
      </c>
      <c r="N11" s="24">
        <v>66.571515047329328</v>
      </c>
      <c r="O11" s="24">
        <v>67.88507975524567</v>
      </c>
    </row>
    <row r="12" spans="1:15" ht="16" customHeight="1">
      <c r="A12" s="18"/>
      <c r="B12" s="23">
        <v>2.725E-2</v>
      </c>
      <c r="C12" s="24">
        <v>55.404560000380123</v>
      </c>
      <c r="D12" s="24">
        <v>56.53945156515509</v>
      </c>
      <c r="E12" s="24">
        <v>57.69432193087156</v>
      </c>
      <c r="F12" s="24">
        <v>58.869445749818112</v>
      </c>
      <c r="G12" s="24">
        <v>60.065100226243977</v>
      </c>
      <c r="H12" s="24">
        <v>61.28156512826871</v>
      </c>
      <c r="I12" s="24">
        <v>62.519122799792378</v>
      </c>
      <c r="J12" s="24">
        <v>63.778058172405267</v>
      </c>
      <c r="K12" s="24">
        <v>65.058658777298149</v>
      </c>
      <c r="L12" s="24">
        <v>66.36121475717178</v>
      </c>
      <c r="M12" s="24">
        <v>67.686018878147422</v>
      </c>
      <c r="N12" s="24">
        <v>69.033366541676202</v>
      </c>
      <c r="O12" s="24">
        <v>70.403555796449552</v>
      </c>
    </row>
    <row r="13" spans="1:15" ht="16" customHeight="1">
      <c r="A13" s="18"/>
      <c r="B13" s="23">
        <v>3.2250000000000001E-2</v>
      </c>
      <c r="C13" s="24">
        <v>57.514035882950751</v>
      </c>
      <c r="D13" s="24">
        <v>58.700032992173838</v>
      </c>
      <c r="E13" s="24">
        <v>59.906994630788112</v>
      </c>
      <c r="F13" s="24">
        <v>61.135209642431199</v>
      </c>
      <c r="G13" s="24">
        <v>62.384969558259222</v>
      </c>
      <c r="H13" s="24">
        <v>63.656568609500759</v>
      </c>
      <c r="I13" s="24">
        <v>64.950303740011535</v>
      </c>
      <c r="J13" s="24">
        <v>66.26647461882834</v>
      </c>
      <c r="K13" s="24">
        <v>67.605383652723788</v>
      </c>
      <c r="L13" s="24">
        <v>68.96733599876012</v>
      </c>
      <c r="M13" s="24">
        <v>70.352639576844055</v>
      </c>
      <c r="N13" s="24">
        <v>71.761605082280568</v>
      </c>
      <c r="O13" s="24">
        <v>73.194545998327683</v>
      </c>
    </row>
    <row r="14" spans="1:15" ht="16" customHeight="1">
      <c r="A14" s="18"/>
      <c r="B14" s="23">
        <v>3.7249999999999998E-2</v>
      </c>
      <c r="C14" s="24">
        <v>59.864825456262949</v>
      </c>
      <c r="D14" s="24">
        <v>61.107774333467717</v>
      </c>
      <c r="E14" s="24">
        <v>62.372786231011467</v>
      </c>
      <c r="F14" s="24">
        <v>63.660165807301603</v>
      </c>
      <c r="G14" s="24">
        <v>64.970220559328965</v>
      </c>
      <c r="H14" s="24">
        <v>66.303260835939881</v>
      </c>
      <c r="I14" s="24">
        <v>67.659599851109022</v>
      </c>
      <c r="J14" s="24">
        <v>69.039553697211275</v>
      </c>
      <c r="K14" s="24">
        <v>70.443441358294635</v>
      </c>
      <c r="L14" s="24">
        <v>71.871584723352129</v>
      </c>
      <c r="M14" s="24">
        <v>73.32430859959463</v>
      </c>
      <c r="N14" s="24">
        <v>74.801940725722787</v>
      </c>
      <c r="O14" s="24">
        <v>76.304811785199973</v>
      </c>
    </row>
    <row r="15" spans="1:15" ht="16" customHeight="1">
      <c r="A15" s="18"/>
      <c r="B15" s="23">
        <v>4.2250000000000003E-2</v>
      </c>
      <c r="C15" s="24">
        <v>62.500848475897882</v>
      </c>
      <c r="D15" s="24">
        <v>63.807659373384233</v>
      </c>
      <c r="E15" s="24">
        <v>65.137765067740389</v>
      </c>
      <c r="F15" s="24">
        <v>66.491487951031218</v>
      </c>
      <c r="G15" s="24">
        <v>67.869153423299522</v>
      </c>
      <c r="H15" s="24">
        <v>69.271089906643269</v>
      </c>
      <c r="I15" s="24">
        <v>70.697628859293616</v>
      </c>
      <c r="J15" s="24">
        <v>72.149104789692075</v>
      </c>
      <c r="K15" s="24">
        <v>73.625855270568493</v>
      </c>
      <c r="L15" s="24">
        <v>75.128220953018257</v>
      </c>
      <c r="M15" s="24">
        <v>76.656545580580342</v>
      </c>
      <c r="N15" s="24">
        <v>78.211176003314336</v>
      </c>
      <c r="O15" s="24">
        <v>79.792462191878684</v>
      </c>
    </row>
    <row r="16" spans="1:15" ht="16" customHeight="1">
      <c r="A16" s="18"/>
      <c r="B16" s="23">
        <v>4.725E-2</v>
      </c>
      <c r="C16" s="24">
        <v>65.47737107663454</v>
      </c>
      <c r="D16" s="24">
        <v>66.856293160283116</v>
      </c>
      <c r="E16" s="24">
        <v>68.259900928003844</v>
      </c>
      <c r="F16" s="24">
        <v>69.688536796205767</v>
      </c>
      <c r="G16" s="24">
        <v>71.142546380551323</v>
      </c>
      <c r="H16" s="24">
        <v>72.622278510942834</v>
      </c>
      <c r="I16" s="24">
        <v>74.128085246509613</v>
      </c>
      <c r="J16" s="24">
        <v>75.660321890594432</v>
      </c>
      <c r="K16" s="24">
        <v>77.21934700574073</v>
      </c>
      <c r="L16" s="24">
        <v>78.805522428678941</v>
      </c>
      <c r="M16" s="24">
        <v>80.419213285313845</v>
      </c>
      <c r="N16" s="24">
        <v>82.060788005710776</v>
      </c>
      <c r="O16" s="24">
        <v>83.730618339083037</v>
      </c>
    </row>
    <row r="17" spans="1:15" ht="16" customHeight="1">
      <c r="A17" s="18"/>
      <c r="B17" s="23">
        <v>5.2249999999999998E-2</v>
      </c>
      <c r="C17" s="24">
        <v>68.864922837204787</v>
      </c>
      <c r="D17" s="24">
        <v>70.325913968667834</v>
      </c>
      <c r="E17" s="24">
        <v>71.813173739558323</v>
      </c>
      <c r="F17" s="24">
        <v>73.327067355798931</v>
      </c>
      <c r="G17" s="24">
        <v>74.86796344025457</v>
      </c>
      <c r="H17" s="24">
        <v>76.43623404875342</v>
      </c>
      <c r="I17" s="24">
        <v>78.032254686109042</v>
      </c>
      <c r="J17" s="24">
        <v>79.656404322141384</v>
      </c>
      <c r="K17" s="24">
        <v>81.309065407698995</v>
      </c>
      <c r="L17" s="24">
        <v>82.990623890679927</v>
      </c>
      <c r="M17" s="24">
        <v>84.701469232053938</v>
      </c>
      <c r="N17" s="24">
        <v>86.441994421883464</v>
      </c>
      <c r="O17" s="24">
        <v>88.212595995345765</v>
      </c>
    </row>
    <row r="20" spans="1:15" ht="24" customHeight="1">
      <c r="A20" s="102" t="s">
        <v>188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</row>
    <row r="21" spans="1:15" ht="16" customHeight="1">
      <c r="A21" s="105" t="s">
        <v>4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</row>
    <row r="22" spans="1:15">
      <c r="B22" s="19" t="s">
        <v>5</v>
      </c>
      <c r="C22" s="106" t="s">
        <v>6</v>
      </c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20"/>
    </row>
    <row r="23" spans="1:15" ht="16" customHeight="1">
      <c r="B23" s="20"/>
      <c r="C23" s="21">
        <v>9.4666340000000002E-2</v>
      </c>
      <c r="D23" s="21">
        <v>9.9666340000000006E-2</v>
      </c>
      <c r="E23" s="21">
        <v>0.10466634</v>
      </c>
      <c r="F23" s="21">
        <v>0.10966634</v>
      </c>
      <c r="G23" s="21">
        <v>0.11466634000000001</v>
      </c>
      <c r="H23" s="21">
        <v>0.11966634</v>
      </c>
      <c r="I23" s="22">
        <v>0.12466634</v>
      </c>
      <c r="J23" s="21">
        <v>0.12966633999999999</v>
      </c>
      <c r="K23" s="21">
        <v>0.13466634</v>
      </c>
      <c r="L23" s="21">
        <v>0.13966634</v>
      </c>
      <c r="M23" s="21">
        <v>0.14466634</v>
      </c>
      <c r="N23" s="21">
        <v>0.14966634000000001</v>
      </c>
      <c r="O23" s="21">
        <v>0.15466634000000001</v>
      </c>
    </row>
    <row r="24" spans="1:15" ht="16" customHeight="1">
      <c r="B24" s="23">
        <v>4.187337E-2</v>
      </c>
      <c r="C24" s="24">
        <v>75.965937445592473</v>
      </c>
      <c r="D24" s="24">
        <v>71.010582535945872</v>
      </c>
      <c r="E24" s="24">
        <v>66.657305213343491</v>
      </c>
      <c r="F24" s="24">
        <v>62.802775385196327</v>
      </c>
      <c r="G24" s="24">
        <v>59.366025309000911</v>
      </c>
      <c r="H24" s="24">
        <v>56.282710716970087</v>
      </c>
      <c r="I24" s="24">
        <v>53.501052984108171</v>
      </c>
      <c r="J24" s="24">
        <v>50.978914596968579</v>
      </c>
      <c r="K24" s="24">
        <v>48.681655078246763</v>
      </c>
      <c r="L24" s="24">
        <v>46.580534725344009</v>
      </c>
      <c r="M24" s="24">
        <v>44.651509537641992</v>
      </c>
      <c r="N24" s="24">
        <v>42.874309876828733</v>
      </c>
      <c r="O24" s="24">
        <v>41.231727864556703</v>
      </c>
    </row>
    <row r="25" spans="1:15" ht="16" customHeight="1">
      <c r="B25" s="23">
        <v>4.6873369999999998E-2</v>
      </c>
      <c r="C25" s="24">
        <v>77.587791477894683</v>
      </c>
      <c r="D25" s="24">
        <v>72.51431982183351</v>
      </c>
      <c r="E25" s="24">
        <v>68.057481998791033</v>
      </c>
      <c r="F25" s="24">
        <v>64.111445214650445</v>
      </c>
      <c r="G25" s="24">
        <v>60.593280773285073</v>
      </c>
      <c r="H25" s="24">
        <v>57.437086167972737</v>
      </c>
      <c r="I25" s="24">
        <v>54.589828942294822</v>
      </c>
      <c r="J25" s="24">
        <v>52.008351307783563</v>
      </c>
      <c r="K25" s="24">
        <v>49.657174125221047</v>
      </c>
      <c r="L25" s="24">
        <v>47.506861971591931</v>
      </c>
      <c r="M25" s="24">
        <v>45.532788872924272</v>
      </c>
      <c r="N25" s="24">
        <v>43.714194644068698</v>
      </c>
      <c r="O25" s="24">
        <v>42.033455022801753</v>
      </c>
    </row>
    <row r="26" spans="1:15" ht="16" customHeight="1">
      <c r="B26" s="23">
        <v>5.1873370000000002E-2</v>
      </c>
      <c r="C26" s="24">
        <v>79.238886619235586</v>
      </c>
      <c r="D26" s="24">
        <v>74.045042642271255</v>
      </c>
      <c r="E26" s="24">
        <v>69.482669110383654</v>
      </c>
      <c r="F26" s="24">
        <v>65.443382264658425</v>
      </c>
      <c r="G26" s="24">
        <v>61.842254641106379</v>
      </c>
      <c r="H26" s="24">
        <v>58.611795447184377</v>
      </c>
      <c r="I26" s="24">
        <v>55.697694219368287</v>
      </c>
      <c r="J26" s="24">
        <v>53.055753223114849</v>
      </c>
      <c r="K26" s="24">
        <v>50.649638488987136</v>
      </c>
      <c r="L26" s="24">
        <v>48.449205462101631</v>
      </c>
      <c r="M26" s="24">
        <v>46.429234977437339</v>
      </c>
      <c r="N26" s="24">
        <v>44.568466848553918</v>
      </c>
      <c r="O26" s="24">
        <v>42.848852405165701</v>
      </c>
    </row>
    <row r="27" spans="1:15" ht="16" customHeight="1">
      <c r="B27" s="23">
        <v>5.6873369999999999E-2</v>
      </c>
      <c r="C27" s="24">
        <v>80.919629708757327</v>
      </c>
      <c r="D27" s="24">
        <v>75.603125566425348</v>
      </c>
      <c r="E27" s="24">
        <v>70.933212879710297</v>
      </c>
      <c r="F27" s="24">
        <v>66.798907966890638</v>
      </c>
      <c r="G27" s="24">
        <v>63.113246237565463</v>
      </c>
      <c r="H27" s="24">
        <v>59.807118133997093</v>
      </c>
      <c r="I27" s="24">
        <v>56.824910661909684</v>
      </c>
      <c r="J27" s="24">
        <v>54.12136618651634</v>
      </c>
      <c r="K27" s="24">
        <v>51.659279507167533</v>
      </c>
      <c r="L27" s="24">
        <v>49.407783332659598</v>
      </c>
      <c r="M27" s="24">
        <v>47.341053927807437</v>
      </c>
      <c r="N27" s="24">
        <v>45.437321514389353</v>
      </c>
      <c r="O27" s="24">
        <v>43.678104874423433</v>
      </c>
    </row>
    <row r="28" spans="1:15" ht="16" customHeight="1">
      <c r="B28" s="23">
        <v>6.1873369999999997E-2</v>
      </c>
      <c r="C28" s="24">
        <v>82.630431392798954</v>
      </c>
      <c r="D28" s="24">
        <v>77.188946663717005</v>
      </c>
      <c r="E28" s="24">
        <v>72.40946287016331</v>
      </c>
      <c r="F28" s="24">
        <v>68.178346748224115</v>
      </c>
      <c r="G28" s="24">
        <v>64.406557673028928</v>
      </c>
      <c r="H28" s="24">
        <v>61.023336405654007</v>
      </c>
      <c r="I28" s="24">
        <v>57.971742546138778</v>
      </c>
      <c r="J28" s="24">
        <v>55.205438319466992</v>
      </c>
      <c r="K28" s="24">
        <v>52.686330657872873</v>
      </c>
      <c r="L28" s="24">
        <v>50.382815734537417</v>
      </c>
      <c r="M28" s="24">
        <v>48.268453702035217</v>
      </c>
      <c r="N28" s="24">
        <v>46.320955462537263</v>
      </c>
      <c r="O28" s="24">
        <v>44.521398994181403</v>
      </c>
    </row>
    <row r="29" spans="1:15" ht="16" customHeight="1">
      <c r="B29" s="23">
        <v>6.6873370000000001E-2</v>
      </c>
      <c r="C29" s="24">
        <v>84.371706142747342</v>
      </c>
      <c r="D29" s="24">
        <v>78.802887520218832</v>
      </c>
      <c r="E29" s="24">
        <v>73.911771892063143</v>
      </c>
      <c r="F29" s="24">
        <v>69.582026044746826</v>
      </c>
      <c r="G29" s="24">
        <v>65.722493856140062</v>
      </c>
      <c r="H29" s="24">
        <v>62.260735049373153</v>
      </c>
      <c r="I29" s="24">
        <v>59.138456589242217</v>
      </c>
      <c r="J29" s="24">
        <v>56.308220031981698</v>
      </c>
      <c r="K29" s="24">
        <v>53.731027569663468</v>
      </c>
      <c r="L29" s="24">
        <v>51.374524843862638</v>
      </c>
      <c r="M29" s="24">
        <v>49.211644188327973</v>
      </c>
      <c r="N29" s="24">
        <v>47.219567319156162</v>
      </c>
      <c r="O29" s="24">
        <v>45.37892303676356</v>
      </c>
    </row>
    <row r="30" spans="1:15" ht="16" customHeight="1">
      <c r="B30" s="25">
        <v>7.1873370000000006E-2</v>
      </c>
      <c r="C30" s="24">
        <v>86.143872272889155</v>
      </c>
      <c r="D30" s="24">
        <v>80.445333255052077</v>
      </c>
      <c r="E30" s="24">
        <v>75.440496017783943</v>
      </c>
      <c r="F30" s="24">
        <v>71.010276315762852</v>
      </c>
      <c r="G30" s="24">
        <v>67.061362506830022</v>
      </c>
      <c r="H30" s="24">
        <v>63.519601474471933</v>
      </c>
      <c r="I30" s="24">
        <v>60.32532196070234</v>
      </c>
      <c r="J30" s="24">
        <v>57.429964033222937</v>
      </c>
      <c r="K30" s="24">
        <v>54.793608031511248</v>
      </c>
      <c r="L30" s="24">
        <v>52.383134870990489</v>
      </c>
      <c r="M30" s="24">
        <v>50.170837193932257</v>
      </c>
      <c r="N30" s="24">
        <v>48.133357523940283</v>
      </c>
      <c r="O30" s="24">
        <v>46.250866991097922</v>
      </c>
    </row>
    <row r="31" spans="1:15" ht="16" customHeight="1">
      <c r="B31" s="23">
        <v>7.6873369999999996E-2</v>
      </c>
      <c r="C31" s="24">
        <v>87.947351958261677</v>
      </c>
      <c r="D31" s="24">
        <v>82.116672536783028</v>
      </c>
      <c r="E31" s="24">
        <v>76.995994596878063</v>
      </c>
      <c r="F31" s="24">
        <v>72.46343105779664</v>
      </c>
      <c r="G31" s="24">
        <v>68.423474169328415</v>
      </c>
      <c r="H31" s="24">
        <v>64.800225724490815</v>
      </c>
      <c r="I31" s="24">
        <v>61.532610293625297</v>
      </c>
      <c r="J31" s="24">
        <v>58.570925342111508</v>
      </c>
      <c r="K31" s="24">
        <v>55.874312002761137</v>
      </c>
      <c r="L31" s="24">
        <v>53.408872069874597</v>
      </c>
      <c r="M31" s="24">
        <v>51.146246453966207</v>
      </c>
      <c r="N31" s="24">
        <v>49.062528338458499</v>
      </c>
      <c r="O31" s="24">
        <v>47.137422570602418</v>
      </c>
    </row>
    <row r="32" spans="1:15" ht="16" customHeight="1">
      <c r="B32" s="23">
        <v>8.1873370000000001E-2</v>
      </c>
      <c r="C32" s="24">
        <v>89.78257125250488</v>
      </c>
      <c r="D32" s="24">
        <v>83.817297599820364</v>
      </c>
      <c r="E32" s="24">
        <v>78.578630271201874</v>
      </c>
      <c r="F32" s="24">
        <v>73.941826818598145</v>
      </c>
      <c r="G32" s="24">
        <v>69.809142225174583</v>
      </c>
      <c r="H32" s="24">
        <v>66.10290048931796</v>
      </c>
      <c r="I32" s="24">
        <v>62.760595696070027</v>
      </c>
      <c r="J32" s="24">
        <v>59.731361297938243</v>
      </c>
      <c r="K32" s="24">
        <v>56.973381623093189</v>
      </c>
      <c r="L32" s="24">
        <v>54.451964747438701</v>
      </c>
      <c r="M32" s="24">
        <v>52.138087640252181</v>
      </c>
      <c r="N32" s="24">
        <v>50.007283854493821</v>
      </c>
      <c r="O32" s="24">
        <v>48.038783221071469</v>
      </c>
    </row>
    <row r="33" spans="1:15" ht="16" customHeight="1">
      <c r="B33" s="23">
        <v>8.6873370000000005E-2</v>
      </c>
      <c r="C33" s="24">
        <v>91.649960105712168</v>
      </c>
      <c r="D33" s="24">
        <v>85.547604260811411</v>
      </c>
      <c r="E33" s="24">
        <v>80.188768990040188</v>
      </c>
      <c r="F33" s="24">
        <v>75.445803211147108</v>
      </c>
      <c r="G33" s="24">
        <v>71.218682906228224</v>
      </c>
      <c r="H33" s="24">
        <v>67.427921117312763</v>
      </c>
      <c r="I33" s="24">
        <v>64.00955476237624</v>
      </c>
      <c r="J33" s="24">
        <v>60.911531570974788</v>
      </c>
      <c r="K33" s="24">
        <v>58.091061222483923</v>
      </c>
      <c r="L33" s="24">
        <v>55.512643272947528</v>
      </c>
      <c r="M33" s="24">
        <v>53.146578370148937</v>
      </c>
      <c r="N33" s="24">
        <v>50.967830002382257</v>
      </c>
      <c r="O33" s="24">
        <v>48.955144128561876</v>
      </c>
    </row>
    <row r="34" spans="1:15" ht="16" customHeight="1">
      <c r="B34" s="23">
        <v>9.1873369999999996E-2</v>
      </c>
      <c r="C34" s="24">
        <v>93.549952382282555</v>
      </c>
      <c r="D34" s="24">
        <v>87.307991935039638</v>
      </c>
      <c r="E34" s="24">
        <v>81.826780025232068</v>
      </c>
      <c r="F34" s="24">
        <v>76.975702927658276</v>
      </c>
      <c r="G34" s="24">
        <v>72.652415307680599</v>
      </c>
      <c r="H34" s="24">
        <v>68.775585627430559</v>
      </c>
      <c r="I34" s="24">
        <v>65.279766584493444</v>
      </c>
      <c r="J34" s="24">
        <v>62.11169817308523</v>
      </c>
      <c r="K34" s="24">
        <v>59.227597331168383</v>
      </c>
      <c r="L34" s="24">
        <v>56.591140087378307</v>
      </c>
      <c r="M34" s="24">
        <v>54.171938215384444</v>
      </c>
      <c r="N34" s="24">
        <v>51.944374559352333</v>
      </c>
      <c r="O34" s="24">
        <v>49.886702227279372</v>
      </c>
    </row>
    <row r="35" spans="1:15" ht="16" customHeight="1">
      <c r="B35" s="23">
        <v>9.687337E-2</v>
      </c>
      <c r="C35" s="24">
        <v>95.482985878771188</v>
      </c>
      <c r="D35" s="24">
        <v>89.098863652820711</v>
      </c>
      <c r="E35" s="24">
        <v>83.493035986295155</v>
      </c>
      <c r="F35" s="24">
        <v>78.531871753585506</v>
      </c>
      <c r="G35" s="24">
        <v>74.110661401065101</v>
      </c>
      <c r="H35" s="24">
        <v>70.146194721346205</v>
      </c>
      <c r="I35" s="24">
        <v>66.571512763308874</v>
      </c>
      <c r="J35" s="24">
        <v>63.332125468336891</v>
      </c>
      <c r="K35" s="24">
        <v>60.383238689601527</v>
      </c>
      <c r="L35" s="24">
        <v>57.68768971279173</v>
      </c>
      <c r="M35" s="24">
        <v>55.214388710887917</v>
      </c>
      <c r="N35" s="24">
        <v>52.937127157863927</v>
      </c>
      <c r="O35" s="24">
        <v>50.833656207464479</v>
      </c>
    </row>
    <row r="36" spans="1:15" ht="16" customHeight="1">
      <c r="B36" s="23">
        <v>0.10187337</v>
      </c>
      <c r="C36" s="24">
        <v>97.449502341741791</v>
      </c>
      <c r="D36" s="24">
        <v>90.92062607590023</v>
      </c>
      <c r="E36" s="24">
        <v>85.187912835551643</v>
      </c>
      <c r="F36" s="24">
        <v>80.114658581627154</v>
      </c>
      <c r="G36" s="24">
        <v>75.593746047268638</v>
      </c>
      <c r="H36" s="24">
        <v>71.540051795578648</v>
      </c>
      <c r="I36" s="24">
        <v>67.885077419976597</v>
      </c>
      <c r="J36" s="24">
        <v>64.573080183612007</v>
      </c>
      <c r="K36" s="24">
        <v>61.55823625842028</v>
      </c>
      <c r="L36" s="24">
        <v>58.802528761703563</v>
      </c>
      <c r="M36" s="24">
        <v>56.274153363622737</v>
      </c>
      <c r="N36" s="24">
        <v>53.946299293947938</v>
      </c>
      <c r="O36" s="24">
        <v>51.796206523279103</v>
      </c>
    </row>
    <row r="38" spans="1:15" ht="18" customHeight="1">
      <c r="A38" s="104" t="s">
        <v>7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</row>
    <row r="39" spans="1:15">
      <c r="A39" s="104" t="s">
        <v>189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</row>
  </sheetData>
  <mergeCells count="8">
    <mergeCell ref="A1:N1"/>
    <mergeCell ref="A39:N39"/>
    <mergeCell ref="A20:N20"/>
    <mergeCell ref="A21:N21"/>
    <mergeCell ref="A2:N2"/>
    <mergeCell ref="A38:N38"/>
    <mergeCell ref="C22:N22"/>
    <mergeCell ref="C3:N3"/>
  </mergeCells>
  <conditionalFormatting sqref="C5:O17">
    <cfRule type="colorScale" priority="1">
      <colorScale>
        <cfvo type="min"/>
        <cfvo type="percentile" val="50"/>
        <cfvo type="max"/>
        <color rgb="FFF7C1C1"/>
        <color rgb="FFFFFFFF"/>
        <color rgb="FFC0DD97"/>
      </colorScale>
    </cfRule>
  </conditionalFormatting>
  <conditionalFormatting sqref="C24:O36">
    <cfRule type="colorScale" priority="2">
      <colorScale>
        <cfvo type="min"/>
        <cfvo type="percentile" val="50"/>
        <cfvo type="max"/>
        <color rgb="FFF7C1C1"/>
        <color rgb="FFFFFFFF"/>
        <color rgb="FFC0DD97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CBA.AX monthly cl prices(60mts)</vt:lpstr>
      <vt:lpstr>ASX 200 Monthly data</vt:lpstr>
      <vt:lpstr>CBA TAX RATE</vt:lpstr>
      <vt:lpstr>Real GDP growth </vt:lpstr>
      <vt:lpstr>CBA Target Capital st</vt:lpstr>
      <vt:lpstr>(BOND YIELDS &amp; RISK FREE RATE</vt:lpstr>
      <vt:lpstr>BETA EST. FROM PRICE DATA</vt:lpstr>
      <vt:lpstr>Peer Return Sheet</vt:lpstr>
      <vt:lpstr>Peer Betas</vt:lpstr>
      <vt:lpstr>DDM</vt:lpstr>
      <vt:lpstr>Sensitivity_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Mervyn Regeo Varghese (Student)</dc:creator>
  <cp:lastModifiedBy>Mervyn Regeo Varghese (Student)</cp:lastModifiedBy>
  <dcterms:created xsi:type="dcterms:W3CDTF">2026-04-25T17:01:37Z</dcterms:created>
  <dcterms:modified xsi:type="dcterms:W3CDTF">2026-10-30T05:20:24Z</dcterms:modified>
</cp:coreProperties>
</file>